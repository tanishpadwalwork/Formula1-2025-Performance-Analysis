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11514ff2f318cd02/Desktop/IT VEDANT/Excel/"/>
    </mc:Choice>
  </mc:AlternateContent>
  <xr:revisionPtr revIDLastSave="1233" documentId="8_{B9146930-D0D4-4A83-A55E-B064183BC25C}" xr6:coauthVersionLast="47" xr6:coauthVersionMax="47" xr10:uidLastSave="{664DD6D4-A7D7-4667-BA4C-70A5611BB83F}"/>
  <bookViews>
    <workbookView xWindow="-98" yWindow="-98" windowWidth="21795" windowHeight="11625" xr2:uid="{75E8004A-4400-429E-9F45-7627F0FD5327}"/>
  </bookViews>
  <sheets>
    <sheet name="Dashboard" sheetId="1" r:id="rId1"/>
    <sheet name="Pivot Tables" sheetId="2" r:id="rId2"/>
    <sheet name="2025 vs 2024" sheetId="10" r:id="rId3"/>
    <sheet name="Race Results 2025" sheetId="4" r:id="rId4"/>
    <sheet name="Qualifying 2025" sheetId="5" r:id="rId5"/>
    <sheet name="Drivers" sheetId="6" r:id="rId6"/>
    <sheet name="Teams" sheetId="7" r:id="rId7"/>
    <sheet name="Race Results 2024" sheetId="8" r:id="rId8"/>
    <sheet name="Qualifying 2024" sheetId="9" r:id="rId9"/>
  </sheets>
  <definedNames>
    <definedName name="ExternalData_1" localSheetId="5" hidden="1">Drivers!$A$1:$O$22</definedName>
    <definedName name="ExternalData_1" localSheetId="8" hidden="1">'Qualifying 2024'!$A$1:$I$479</definedName>
    <definedName name="ExternalData_1" localSheetId="4" hidden="1">'Qualifying 2025'!$A$1:$I$181</definedName>
    <definedName name="ExternalData_1" localSheetId="7" hidden="1">'Race Results 2024'!$A$1:$K$480</definedName>
    <definedName name="ExternalData_1" localSheetId="3" hidden="1">'Race Results 2025'!$A$1:$L$180</definedName>
    <definedName name="ExternalData_1" localSheetId="6" hidden="1">Teams!$A$1:$O$11</definedName>
    <definedName name="Slicer_Driver">#N/A</definedName>
    <definedName name="Slicer_Season">#N/A</definedName>
    <definedName name="Slicer_Team">#N/A</definedName>
    <definedName name="Slicer_Track">#N/A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 l="1"/>
  <c r="N6" i="2"/>
  <c r="N5" i="2"/>
  <c r="N4" i="2"/>
  <c r="N3" i="2"/>
  <c r="N2" i="2"/>
  <c r="AD3" i="1" s="1"/>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M155" i="4"/>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T6"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T4" i="4"/>
  <c r="T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7DFD67-D841-49D6-A214-DDBE44968A35}" keepAlive="1" name="Query - F1_2025_QualifyingResults" description="Connection to the 'F1_2025_QualifyingResults' query in the workbook." type="5" refreshedVersion="8" background="1" saveData="1">
    <dbPr connection="Provider=Microsoft.Mashup.OleDb.1;Data Source=$Workbook$;Location=F1_2025_QualifyingResults;Extended Properties=&quot;&quot;" command="SELECT * FROM [F1_2025_QualifyingResults]"/>
  </connection>
  <connection id="2" xr16:uid="{4995D524-740E-4253-B70A-C8C270EA3B6B}" keepAlive="1" name="Query - F1_2025_RaceResults" description="Connection to the 'F1_2025_RaceResults' query in the workbook." type="5" refreshedVersion="8" background="1" saveData="1">
    <dbPr connection="Provider=Microsoft.Mashup.OleDb.1;Data Source=$Workbook$;Location=F1_2025_RaceResults;Extended Properties=&quot;&quot;" command="SELECT * FROM [F1_2025_RaceResults]"/>
  </connection>
  <connection id="3" xr16:uid="{EB7827C2-301A-4055-9121-3C9F0E6B0636}" keepAlive="1" name="Query - F1_2025_Season_Teams" description="Connection to the 'F1_2025_Season_Teams' query in the workbook." type="5" refreshedVersion="8" background="1" saveData="1">
    <dbPr connection="Provider=Microsoft.Mashup.OleDb.1;Data Source=$Workbook$;Location=F1_2025_Season_Teams;Extended Properties=&quot;&quot;" command="SELECT * FROM [F1_2025_Season_Teams]"/>
  </connection>
  <connection id="4" xr16:uid="{1C21CE4C-B6B9-4A84-B886-230803867CEE}" keepAlive="1" name="Query - Formula1_2024season_qualifyingResults" description="Connection to the 'Formula1_2024season_qualifyingResults' query in the workbook." type="5" refreshedVersion="8" background="1" saveData="1">
    <dbPr connection="Provider=Microsoft.Mashup.OleDb.1;Data Source=$Workbook$;Location=Formula1_2024season_qualifyingResults;Extended Properties=&quot;&quot;" command="SELECT * FROM [Formula1_2024season_qualifyingResults]"/>
  </connection>
  <connection id="5" xr16:uid="{0F457A66-93CE-4803-A362-6188997EABC5}" keepAlive="1" name="Query - Formula1_2024season_raceResults" description="Connection to the 'Formula1_2024season_raceResults' query in the workbook." type="5" refreshedVersion="8" background="1" saveData="1">
    <dbPr connection="Provider=Microsoft.Mashup.OleDb.1;Data Source=$Workbook$;Location=Formula1_2024season_raceResults;Extended Properties=&quot;&quot;" command="SELECT * FROM [Formula1_2024season_raceResults]"/>
  </connection>
  <connection id="6" xr16:uid="{D2C0D3E3-9D69-475B-87C5-827309EB177F}" keepAlive="1" name="Query - Formula1_2025Season_Drivers" description="Connection to the 'Formula1_2025Season_Drivers' query in the workbook." type="5" refreshedVersion="8" background="1" saveData="1">
    <dbPr connection="Provider=Microsoft.Mashup.OleDb.1;Data Source=$Workbook$;Location=Formula1_2025Season_Drivers;Extended Properties=&quot;&quot;" command="SELECT * FROM [Formula1_2025Season_Drivers]"/>
  </connection>
</connections>
</file>

<file path=xl/sharedStrings.xml><?xml version="1.0" encoding="utf-8"?>
<sst xmlns="http://schemas.openxmlformats.org/spreadsheetml/2006/main" count="10607" uniqueCount="2760">
  <si>
    <t>Track</t>
  </si>
  <si>
    <t>Position</t>
  </si>
  <si>
    <t>No</t>
  </si>
  <si>
    <t>Driver</t>
  </si>
  <si>
    <t>Team</t>
  </si>
  <si>
    <t>Starting Grid</t>
  </si>
  <si>
    <t>Laps</t>
  </si>
  <si>
    <t>Time/Retired</t>
  </si>
  <si>
    <t>Points</t>
  </si>
  <si>
    <t>Set Fastest Lap</t>
  </si>
  <si>
    <t>Fastest Lap Time</t>
  </si>
  <si>
    <t>Australia</t>
  </si>
  <si>
    <t>1</t>
  </si>
  <si>
    <t>Lando Norris</t>
  </si>
  <si>
    <t>McLaren Mercedes</t>
  </si>
  <si>
    <t>1:42:06.304</t>
  </si>
  <si>
    <t>Yes</t>
  </si>
  <si>
    <t>1:22.167</t>
  </si>
  <si>
    <t>2</t>
  </si>
  <si>
    <t>Max Verstappen</t>
  </si>
  <si>
    <t>Red Bull Racing Honda RBPT</t>
  </si>
  <si>
    <t>+0.895</t>
  </si>
  <si>
    <t>1:23.081</t>
  </si>
  <si>
    <t>3</t>
  </si>
  <si>
    <t>George Russell</t>
  </si>
  <si>
    <t>Mercedes</t>
  </si>
  <si>
    <t>+8.481</t>
  </si>
  <si>
    <t>1:25.065</t>
  </si>
  <si>
    <t>4</t>
  </si>
  <si>
    <t>Kimi Antonelli</t>
  </si>
  <si>
    <t>+10.135</t>
  </si>
  <si>
    <t>1:24.901</t>
  </si>
  <si>
    <t>5</t>
  </si>
  <si>
    <t>Alexander Albon</t>
  </si>
  <si>
    <t>Williams Mercedes</t>
  </si>
  <si>
    <t>+12.773</t>
  </si>
  <si>
    <t>1:24.597</t>
  </si>
  <si>
    <t>6</t>
  </si>
  <si>
    <t>Lance Stroll</t>
  </si>
  <si>
    <t>Aston Martin Aramco Mercedes</t>
  </si>
  <si>
    <t>+17.413</t>
  </si>
  <si>
    <t>1:25.538</t>
  </si>
  <si>
    <t>7</t>
  </si>
  <si>
    <t>Nico Hulkenberg</t>
  </si>
  <si>
    <t>Kick Sauber Ferrari</t>
  </si>
  <si>
    <t>+18.423</t>
  </si>
  <si>
    <t>1:25.243</t>
  </si>
  <si>
    <t>8</t>
  </si>
  <si>
    <t>Charles Leclerc</t>
  </si>
  <si>
    <t>Ferrari</t>
  </si>
  <si>
    <t>+19.826</t>
  </si>
  <si>
    <t>1:25.271</t>
  </si>
  <si>
    <t>9</t>
  </si>
  <si>
    <t>Oscar Piastri</t>
  </si>
  <si>
    <t>+20.448</t>
  </si>
  <si>
    <t>1:23.242</t>
  </si>
  <si>
    <t>10</t>
  </si>
  <si>
    <t>Lewis Hamilton</t>
  </si>
  <si>
    <t>+22.473</t>
  </si>
  <si>
    <t>1:24.218</t>
  </si>
  <si>
    <t>11</t>
  </si>
  <si>
    <t>Pierre Gasly</t>
  </si>
  <si>
    <t>Alpine Renault</t>
  </si>
  <si>
    <t>+26.502</t>
  </si>
  <si>
    <t>1:25.020</t>
  </si>
  <si>
    <t>12</t>
  </si>
  <si>
    <t>Yuki Tsunoda</t>
  </si>
  <si>
    <t>Racing Bulls Honda RBPT</t>
  </si>
  <si>
    <t>+29.884</t>
  </si>
  <si>
    <t>1:24.194</t>
  </si>
  <si>
    <t>13</t>
  </si>
  <si>
    <t>Esteban Ocon</t>
  </si>
  <si>
    <t>Haas Ferrari</t>
  </si>
  <si>
    <t>+33.161</t>
  </si>
  <si>
    <t>1:26.764</t>
  </si>
  <si>
    <t>14</t>
  </si>
  <si>
    <t>Oliver Bearman</t>
  </si>
  <si>
    <t>+40.351</t>
  </si>
  <si>
    <t>1:27.603</t>
  </si>
  <si>
    <t>NC</t>
  </si>
  <si>
    <t>Liam Lawson</t>
  </si>
  <si>
    <t>DNF</t>
  </si>
  <si>
    <t>1:22.970</t>
  </si>
  <si>
    <t>Gabriel Bortoleto</t>
  </si>
  <si>
    <t>1:24.192</t>
  </si>
  <si>
    <t>Fernando Alonso</t>
  </si>
  <si>
    <t>1:28.819</t>
  </si>
  <si>
    <t>Carlos Sainz</t>
  </si>
  <si>
    <t/>
  </si>
  <si>
    <t>Jack Doohan</t>
  </si>
  <si>
    <t>Isack Hadjar</t>
  </si>
  <si>
    <t>China</t>
  </si>
  <si>
    <t>1:30:55.026</t>
  </si>
  <si>
    <t>1:35.520</t>
  </si>
  <si>
    <t>+9.748</t>
  </si>
  <si>
    <t>1:35.454</t>
  </si>
  <si>
    <t>+11.097</t>
  </si>
  <si>
    <t>1:35.816</t>
  </si>
  <si>
    <t>+16.656</t>
  </si>
  <si>
    <t>1:35.488</t>
  </si>
  <si>
    <t>+49.969</t>
  </si>
  <si>
    <t>1:35.740</t>
  </si>
  <si>
    <t>+53.748</t>
  </si>
  <si>
    <t>1:36.046</t>
  </si>
  <si>
    <t>+56.321</t>
  </si>
  <si>
    <t>1:36.254</t>
  </si>
  <si>
    <t>+61.303</t>
  </si>
  <si>
    <t>1:36.363</t>
  </si>
  <si>
    <t>+70.204</t>
  </si>
  <si>
    <t>1:36.044</t>
  </si>
  <si>
    <t>+76.387</t>
  </si>
  <si>
    <t>1:36.779</t>
  </si>
  <si>
    <t>+78.875</t>
  </si>
  <si>
    <t>1:35.868</t>
  </si>
  <si>
    <t>+81.147</t>
  </si>
  <si>
    <t>1:35.985</t>
  </si>
  <si>
    <t>+88.401</t>
  </si>
  <si>
    <t>1:36.424</t>
  </si>
  <si>
    <t>+1 lap</t>
  </si>
  <si>
    <t>1:35.874</t>
  </si>
  <si>
    <t>15</t>
  </si>
  <si>
    <t>1:37.275</t>
  </si>
  <si>
    <t>16</t>
  </si>
  <si>
    <t>1:35.871</t>
  </si>
  <si>
    <t>1:39.256</t>
  </si>
  <si>
    <t>DQ</t>
  </si>
  <si>
    <t>DSQ</t>
  </si>
  <si>
    <t>1:36.157</t>
  </si>
  <si>
    <t>1:35.069</t>
  </si>
  <si>
    <t>1:36.425</t>
  </si>
  <si>
    <t>Japan</t>
  </si>
  <si>
    <t>1:22:06.983</t>
  </si>
  <si>
    <t>1:31.041</t>
  </si>
  <si>
    <t>+1.423</t>
  </si>
  <si>
    <t>1:31.116</t>
  </si>
  <si>
    <t>+2.129</t>
  </si>
  <si>
    <t>1:31.039</t>
  </si>
  <si>
    <t>+16.097</t>
  </si>
  <si>
    <t>1:31.469</t>
  </si>
  <si>
    <t>+17.362</t>
  </si>
  <si>
    <t>1:31.357</t>
  </si>
  <si>
    <t>+18.671</t>
  </si>
  <si>
    <t>1:30.965</t>
  </si>
  <si>
    <t>+29.182</t>
  </si>
  <si>
    <t>1:31.406</t>
  </si>
  <si>
    <t>+37.134</t>
  </si>
  <si>
    <t>1:31.317</t>
  </si>
  <si>
    <t>+40.367</t>
  </si>
  <si>
    <t>1:31.125</t>
  </si>
  <si>
    <t>+54.529</t>
  </si>
  <si>
    <t>1:32.006</t>
  </si>
  <si>
    <t>+57.333</t>
  </si>
  <si>
    <t>1:31.770</t>
  </si>
  <si>
    <t>+58.401</t>
  </si>
  <si>
    <t>1:31.871</t>
  </si>
  <si>
    <t>+62.122</t>
  </si>
  <si>
    <t>1:31.820</t>
  </si>
  <si>
    <t>+74.129</t>
  </si>
  <si>
    <t>1:31.106</t>
  </si>
  <si>
    <t>+81.314</t>
  </si>
  <si>
    <t>1:32.685</t>
  </si>
  <si>
    <t>+81.957</t>
  </si>
  <si>
    <t>1:32.572</t>
  </si>
  <si>
    <t>17</t>
  </si>
  <si>
    <t>+82.734</t>
  </si>
  <si>
    <t>1:32.043</t>
  </si>
  <si>
    <t>18</t>
  </si>
  <si>
    <t>+83.438</t>
  </si>
  <si>
    <t>1:31.967</t>
  </si>
  <si>
    <t>19</t>
  </si>
  <si>
    <t>+83.897</t>
  </si>
  <si>
    <t>1:32.034</t>
  </si>
  <si>
    <t>20</t>
  </si>
  <si>
    <t>1:32.052</t>
  </si>
  <si>
    <t>Bahrain</t>
  </si>
  <si>
    <t>1:35:39.435</t>
  </si>
  <si>
    <t>1:35.140</t>
  </si>
  <si>
    <t>+15.499</t>
  </si>
  <si>
    <t>1:35.518</t>
  </si>
  <si>
    <t>+16.273</t>
  </si>
  <si>
    <t>1:35.728</t>
  </si>
  <si>
    <t>+19.679</t>
  </si>
  <si>
    <t>1:36.132</t>
  </si>
  <si>
    <t>+27.993</t>
  </si>
  <si>
    <t>1:36.235</t>
  </si>
  <si>
    <t>+24.395</t>
  </si>
  <si>
    <t>1:36.167</t>
  </si>
  <si>
    <t>+36.002</t>
  </si>
  <si>
    <t>1:36.531</t>
  </si>
  <si>
    <t>+44.244</t>
  </si>
  <si>
    <t>1:37.098</t>
  </si>
  <si>
    <t>+45.061</t>
  </si>
  <si>
    <t>1:37.225</t>
  </si>
  <si>
    <t>+47.594</t>
  </si>
  <si>
    <t>1:37.303</t>
  </si>
  <si>
    <t>+48.016</t>
  </si>
  <si>
    <t>1:36.690</t>
  </si>
  <si>
    <t>+48.839</t>
  </si>
  <si>
    <t>1:37.141</t>
  </si>
  <si>
    <t>+56.314</t>
  </si>
  <si>
    <t>1:36.952</t>
  </si>
  <si>
    <t>+57.806</t>
  </si>
  <si>
    <t>1:36.682</t>
  </si>
  <si>
    <t>+60.340</t>
  </si>
  <si>
    <t>1:37.906</t>
  </si>
  <si>
    <t>+64.435</t>
  </si>
  <si>
    <t>1:37.380</t>
  </si>
  <si>
    <t>+65.489</t>
  </si>
  <si>
    <t>1:38.064</t>
  </si>
  <si>
    <t>+66.872</t>
  </si>
  <si>
    <t>1:38.006</t>
  </si>
  <si>
    <t>1:36.954</t>
  </si>
  <si>
    <t>1:37.338</t>
  </si>
  <si>
    <t>Saudi Arabia</t>
  </si>
  <si>
    <t>1:21:06.758</t>
  </si>
  <si>
    <t>1:32.228</t>
  </si>
  <si>
    <t>+2.843</t>
  </si>
  <si>
    <t>1:32.280</t>
  </si>
  <si>
    <t>+8.104</t>
  </si>
  <si>
    <t>1:32.192</t>
  </si>
  <si>
    <t>+9.196</t>
  </si>
  <si>
    <t>1:31.778</t>
  </si>
  <si>
    <t>+27.236</t>
  </si>
  <si>
    <t>1:32.893</t>
  </si>
  <si>
    <t>+34.688</t>
  </si>
  <si>
    <t>1:32.396</t>
  </si>
  <si>
    <t>+39.073</t>
  </si>
  <si>
    <t>1:32.600</t>
  </si>
  <si>
    <t>+64.630</t>
  </si>
  <si>
    <t>1:32.466</t>
  </si>
  <si>
    <t>+66.515</t>
  </si>
  <si>
    <t>1:33.477</t>
  </si>
  <si>
    <t>+67.091</t>
  </si>
  <si>
    <t>1:33.257</t>
  </si>
  <si>
    <t>+75.917</t>
  </si>
  <si>
    <t>1:33.009</t>
  </si>
  <si>
    <t>+78.451</t>
  </si>
  <si>
    <t>1:32.998</t>
  </si>
  <si>
    <t>+79.194</t>
  </si>
  <si>
    <t>1:33.238</t>
  </si>
  <si>
    <t>+99.723</t>
  </si>
  <si>
    <t>1:34.309</t>
  </si>
  <si>
    <t>1:33.446</t>
  </si>
  <si>
    <t>1:32.745</t>
  </si>
  <si>
    <t>1:33.150</t>
  </si>
  <si>
    <t>1:34.447</t>
  </si>
  <si>
    <t>Miami</t>
  </si>
  <si>
    <t>1:28:51.587</t>
  </si>
  <si>
    <t>1:29.822</t>
  </si>
  <si>
    <t>+4.630</t>
  </si>
  <si>
    <t>1:29.746</t>
  </si>
  <si>
    <t>+37.644</t>
  </si>
  <si>
    <t>1:30.318</t>
  </si>
  <si>
    <t>+39.956</t>
  </si>
  <si>
    <t>1:30.466</t>
  </si>
  <si>
    <t>+48.067</t>
  </si>
  <si>
    <t>1:30.482</t>
  </si>
  <si>
    <t>+55.502</t>
  </si>
  <si>
    <t>1:30.795</t>
  </si>
  <si>
    <t>+57.036</t>
  </si>
  <si>
    <t>1:30.461</t>
  </si>
  <si>
    <t>+60.186</t>
  </si>
  <si>
    <t>1:30.562</t>
  </si>
  <si>
    <t>+60.577</t>
  </si>
  <si>
    <t>1:30.703</t>
  </si>
  <si>
    <t>+74.434</t>
  </si>
  <si>
    <t>1:30.964</t>
  </si>
  <si>
    <t>+74.602</t>
  </si>
  <si>
    <t>1:30.971</t>
  </si>
  <si>
    <t>+82.006</t>
  </si>
  <si>
    <t>1:31.122</t>
  </si>
  <si>
    <t>+90.445</t>
  </si>
  <si>
    <t>1:31.159</t>
  </si>
  <si>
    <t>1:31.015</t>
  </si>
  <si>
    <t>1:31.287</t>
  </si>
  <si>
    <t>1:31.769</t>
  </si>
  <si>
    <t>1:32.328</t>
  </si>
  <si>
    <t>1:32.680</t>
  </si>
  <si>
    <t>Emilia-Romagna</t>
  </si>
  <si>
    <t>1:31:33.199</t>
  </si>
  <si>
    <t>1:17.988</t>
  </si>
  <si>
    <t>+6.109</t>
  </si>
  <si>
    <t>1:18.311</t>
  </si>
  <si>
    <t>+12.956</t>
  </si>
  <si>
    <t>1:18.894</t>
  </si>
  <si>
    <t>+14.356</t>
  </si>
  <si>
    <t>1:18.265</t>
  </si>
  <si>
    <t>+17.945</t>
  </si>
  <si>
    <t>1:18.289</t>
  </si>
  <si>
    <t>+20.774</t>
  </si>
  <si>
    <t>1:19.048</t>
  </si>
  <si>
    <t>+22.304</t>
  </si>
  <si>
    <t>1:19.733</t>
  </si>
  <si>
    <t>+22.898</t>
  </si>
  <si>
    <t>1:19.836</t>
  </si>
  <si>
    <t>+23.586</t>
  </si>
  <si>
    <t>1:19.473</t>
  </si>
  <si>
    <t>+26.446</t>
  </si>
  <si>
    <t>1:20.039</t>
  </si>
  <si>
    <t>+27.250</t>
  </si>
  <si>
    <t>1:19.894</t>
  </si>
  <si>
    <t>+30.296</t>
  </si>
  <si>
    <t>1:20.401</t>
  </si>
  <si>
    <t>+31.424</t>
  </si>
  <si>
    <t>1:20.398</t>
  </si>
  <si>
    <t>+32.511</t>
  </si>
  <si>
    <t>1:20.501</t>
  </si>
  <si>
    <t>+32.993</t>
  </si>
  <si>
    <t>Franco Colapinto</t>
  </si>
  <si>
    <t>+33.411</t>
  </si>
  <si>
    <t>1:20.345</t>
  </si>
  <si>
    <t>+33.808</t>
  </si>
  <si>
    <t>1:19.521</t>
  </si>
  <si>
    <t>+38.572</t>
  </si>
  <si>
    <t>1:20.630</t>
  </si>
  <si>
    <t>1:20.620</t>
  </si>
  <si>
    <t>1:21.413</t>
  </si>
  <si>
    <t>Monaco</t>
  </si>
  <si>
    <t>1:40:33.843</t>
  </si>
  <si>
    <t>1:13.221</t>
  </si>
  <si>
    <t>+3.131</t>
  </si>
  <si>
    <t>1:14.055</t>
  </si>
  <si>
    <t>+3.658</t>
  </si>
  <si>
    <t>1:13.745</t>
  </si>
  <si>
    <t>+20.572</t>
  </si>
  <si>
    <t>1:14.230</t>
  </si>
  <si>
    <t>+51.387</t>
  </si>
  <si>
    <t>1:14.090</t>
  </si>
  <si>
    <t>1:15.981</t>
  </si>
  <si>
    <t>1:15.157</t>
  </si>
  <si>
    <t>1:15.321</t>
  </si>
  <si>
    <t>+2 laps</t>
  </si>
  <si>
    <t>1:14.597</t>
  </si>
  <si>
    <t>1:13.988</t>
  </si>
  <si>
    <t>1:13.405</t>
  </si>
  <si>
    <t>1:14.855</t>
  </si>
  <si>
    <t>1:15.298</t>
  </si>
  <si>
    <t>1:14.884</t>
  </si>
  <si>
    <t>1:14.877</t>
  </si>
  <si>
    <t>1:15.223</t>
  </si>
  <si>
    <t>1:14.913</t>
  </si>
  <si>
    <t>+3 laps</t>
  </si>
  <si>
    <t>1:13.518</t>
  </si>
  <si>
    <t>1:15.593</t>
  </si>
  <si>
    <t>1:18.054</t>
  </si>
  <si>
    <t>Spain</t>
  </si>
  <si>
    <t>1:32:57.375</t>
  </si>
  <si>
    <t>1:15.743</t>
  </si>
  <si>
    <t>+2.471</t>
  </si>
  <si>
    <t>1:16.187</t>
  </si>
  <si>
    <t>+10.455</t>
  </si>
  <si>
    <t>1:17.259</t>
  </si>
  <si>
    <t>+11.359</t>
  </si>
  <si>
    <t>1:17.244</t>
  </si>
  <si>
    <t>+13.648</t>
  </si>
  <si>
    <t>1:17.575</t>
  </si>
  <si>
    <t>+15.508</t>
  </si>
  <si>
    <t>1:17.706</t>
  </si>
  <si>
    <t>+16.022</t>
  </si>
  <si>
    <t>1:17.770</t>
  </si>
  <si>
    <t>+17.882</t>
  </si>
  <si>
    <t>1:17.896</t>
  </si>
  <si>
    <t>+21.564</t>
  </si>
  <si>
    <t>1:18.128</t>
  </si>
  <si>
    <t>+21.826</t>
  </si>
  <si>
    <t>1:17.019</t>
  </si>
  <si>
    <t>+25.532</t>
  </si>
  <si>
    <t>1:19.424</t>
  </si>
  <si>
    <t>+25.996</t>
  </si>
  <si>
    <t>1:18.297</t>
  </si>
  <si>
    <t>+28.822</t>
  </si>
  <si>
    <t>1:17.998</t>
  </si>
  <si>
    <t>+29.309</t>
  </si>
  <si>
    <t>1:19.317</t>
  </si>
  <si>
    <t>+31.381</t>
  </si>
  <si>
    <t>1:18.353</t>
  </si>
  <si>
    <t>+32.197</t>
  </si>
  <si>
    <t>1:18.624</t>
  </si>
  <si>
    <t>+37.065</t>
  </si>
  <si>
    <t>1:18.907</t>
  </si>
  <si>
    <t>1:18.255</t>
  </si>
  <si>
    <t>1:20.508</t>
  </si>
  <si>
    <t>Q1</t>
  </si>
  <si>
    <t>Q2</t>
  </si>
  <si>
    <t>Q3</t>
  </si>
  <si>
    <t>1:15.912</t>
  </si>
  <si>
    <t>1:15.415</t>
  </si>
  <si>
    <t>1:15.096</t>
  </si>
  <si>
    <t>1:16.062</t>
  </si>
  <si>
    <t>1:15.468</t>
  </si>
  <si>
    <t>1:15.180</t>
  </si>
  <si>
    <t>1:16.018</t>
  </si>
  <si>
    <t>1:15.565</t>
  </si>
  <si>
    <t>1:15.481</t>
  </si>
  <si>
    <t>1:15.971</t>
  </si>
  <si>
    <t>1:15.798</t>
  </si>
  <si>
    <t>1:15.546</t>
  </si>
  <si>
    <t>1:16.225</t>
  </si>
  <si>
    <t>1:16.009</t>
  </si>
  <si>
    <t>1:15.670</t>
  </si>
  <si>
    <t>1:16.245</t>
  </si>
  <si>
    <t>1:16.017</t>
  </si>
  <si>
    <t>1:15.737</t>
  </si>
  <si>
    <t>1:16.029</t>
  </si>
  <si>
    <t>1:15.827</t>
  </si>
  <si>
    <t>1:15.755</t>
  </si>
  <si>
    <t>1:16.213</t>
  </si>
  <si>
    <t>1:15.919</t>
  </si>
  <si>
    <t>1:15.973</t>
  </si>
  <si>
    <t>1:16.328</t>
  </si>
  <si>
    <t>1:16.112</t>
  </si>
  <si>
    <t>1:15.980</t>
  </si>
  <si>
    <t>1:16.360</t>
  </si>
  <si>
    <t>1:15.931</t>
  </si>
  <si>
    <t>1:16.354</t>
  </si>
  <si>
    <t>1:16.175</t>
  </si>
  <si>
    <t>1:16.288</t>
  </si>
  <si>
    <t>1:16.453</t>
  </si>
  <si>
    <t>1:16.369</t>
  </si>
  <si>
    <t>1:16.483</t>
  </si>
  <si>
    <t>1:16.315</t>
  </si>
  <si>
    <t>1:16.863</t>
  </si>
  <si>
    <t>1:16.516</t>
  </si>
  <si>
    <t>1:17.520</t>
  </si>
  <si>
    <t>1:16.525</t>
  </si>
  <si>
    <t>1:16.579</t>
  </si>
  <si>
    <t>1:17.094</t>
  </si>
  <si>
    <t>1:17.147</t>
  </si>
  <si>
    <t>DNS</t>
  </si>
  <si>
    <t>1:31.591</t>
  </si>
  <si>
    <t>1:31.200</t>
  </si>
  <si>
    <t>1:30.641</t>
  </si>
  <si>
    <t>1:31.295</t>
  </si>
  <si>
    <t>1:31.307</t>
  </si>
  <si>
    <t>1:30.723</t>
  </si>
  <si>
    <t>1:30.983</t>
  </si>
  <si>
    <t>1:30.787</t>
  </si>
  <si>
    <t>1:30.793</t>
  </si>
  <si>
    <t>1:31.424</t>
  </si>
  <si>
    <t>1:31.142</t>
  </si>
  <si>
    <t>1:30.817</t>
  </si>
  <si>
    <t>1:31.690</t>
  </si>
  <si>
    <t>1:31.501</t>
  </si>
  <si>
    <t>1:30.927</t>
  </si>
  <si>
    <t>1:31.579</t>
  </si>
  <si>
    <t>1:31.450</t>
  </si>
  <si>
    <t>1:31.021</t>
  </si>
  <si>
    <t>1:31.162</t>
  </si>
  <si>
    <t>1:31.253</t>
  </si>
  <si>
    <t>1:31.079</t>
  </si>
  <si>
    <t>1:31.676</t>
  </si>
  <si>
    <t>1:31.590</t>
  </si>
  <si>
    <t>1:31.103</t>
  </si>
  <si>
    <t>Racing Bulls Honda RBPt</t>
  </si>
  <si>
    <t>1:31.238</t>
  </si>
  <si>
    <t>1:31.260</t>
  </si>
  <si>
    <t>1:31.638</t>
  </si>
  <si>
    <t>1:31.503</t>
  </si>
  <si>
    <t>1:31.595</t>
  </si>
  <si>
    <t>1:31.706</t>
  </si>
  <si>
    <t>1:31.876</t>
  </si>
  <si>
    <t>1:31.625</t>
  </si>
  <si>
    <t>1:31.921</t>
  </si>
  <si>
    <t>1:31.632</t>
  </si>
  <si>
    <t>1:31.719</t>
  </si>
  <si>
    <t>1:31.688</t>
  </si>
  <si>
    <t>1:31.923</t>
  </si>
  <si>
    <t>1:31.773</t>
  </si>
  <si>
    <t>1:31.628</t>
  </si>
  <si>
    <t>1:31.840</t>
  </si>
  <si>
    <t>1:31.992</t>
  </si>
  <si>
    <t>1:32.018</t>
  </si>
  <si>
    <t>1:32.092</t>
  </si>
  <si>
    <t>1:32.141</t>
  </si>
  <si>
    <t>1:32.174</t>
  </si>
  <si>
    <t>1:27.943</t>
  </si>
  <si>
    <t>1:27.502</t>
  </si>
  <si>
    <t>1:26.983</t>
  </si>
  <si>
    <t>1:27.845</t>
  </si>
  <si>
    <t>1:27.146</t>
  </si>
  <si>
    <t>1:26.995</t>
  </si>
  <si>
    <t>1:27.687</t>
  </si>
  <si>
    <t>1:27.507</t>
  </si>
  <si>
    <t>1:27.207</t>
  </si>
  <si>
    <t>1:27.920</t>
  </si>
  <si>
    <t>1:27.555</t>
  </si>
  <si>
    <t>1:27.299</t>
  </si>
  <si>
    <t>1:27.843</t>
  </si>
  <si>
    <t>1:27.400</t>
  </si>
  <si>
    <t>1:27.318</t>
  </si>
  <si>
    <t>1:27.968</t>
  </si>
  <si>
    <t>1:27.639</t>
  </si>
  <si>
    <t>1:28.278</t>
  </si>
  <si>
    <t>1:27.775</t>
  </si>
  <si>
    <t>1:27.569</t>
  </si>
  <si>
    <t>1:27.942</t>
  </si>
  <si>
    <t>1:27.610</t>
  </si>
  <si>
    <t>1:28.218</t>
  </si>
  <si>
    <t>1:27.783</t>
  </si>
  <si>
    <t>1:27.615</t>
  </si>
  <si>
    <t>1:28.228</t>
  </si>
  <si>
    <t>1:27.711</t>
  </si>
  <si>
    <t>1:27.867</t>
  </si>
  <si>
    <t>1:28.186</t>
  </si>
  <si>
    <t>1:27.822</t>
  </si>
  <si>
    <t>1:28.209</t>
  </si>
  <si>
    <t>1:27.836</t>
  </si>
  <si>
    <t>1:28.337</t>
  </si>
  <si>
    <t>1:27.897</t>
  </si>
  <si>
    <t>1:28.554</t>
  </si>
  <si>
    <t>1:27.906</t>
  </si>
  <si>
    <t>1:27.967</t>
  </si>
  <si>
    <t>1:28.000</t>
  </si>
  <si>
    <t>1:28.570</t>
  </si>
  <si>
    <t>1:28.622</t>
  </si>
  <si>
    <t>1:28.696</t>
  </si>
  <si>
    <t>1:28.877</t>
  </si>
  <si>
    <t>1:29.271</t>
  </si>
  <si>
    <t>1:31.392</t>
  </si>
  <si>
    <t>1:30.454</t>
  </si>
  <si>
    <t>1:29.841</t>
  </si>
  <si>
    <t>1:31.494</t>
  </si>
  <si>
    <t>1:30.664</t>
  </si>
  <si>
    <t>1:30.009</t>
  </si>
  <si>
    <t>1:31.454</t>
  </si>
  <si>
    <t>1:30.724</t>
  </si>
  <si>
    <t>1:30.175</t>
  </si>
  <si>
    <t>1:31.415</t>
  </si>
  <si>
    <t>1:30.716</t>
  </si>
  <si>
    <t>1:30.213</t>
  </si>
  <si>
    <t>1:31.462</t>
  </si>
  <si>
    <t>1:30.643</t>
  </si>
  <si>
    <t>1:30.216</t>
  </si>
  <si>
    <t>1:31.107</t>
  </si>
  <si>
    <t>1:30.560</t>
  </si>
  <si>
    <t>1:30.267</t>
  </si>
  <si>
    <t>1:31.303</t>
  </si>
  <si>
    <t>1:31.019</t>
  </si>
  <si>
    <t>1:30.423</t>
  </si>
  <si>
    <t>1:30.844</t>
  </si>
  <si>
    <t>1:30.680</t>
  </si>
  <si>
    <t>1:31.219</t>
  </si>
  <si>
    <t>1:31.009</t>
  </si>
  <si>
    <t>1:30.772</t>
  </si>
  <si>
    <t>1:31.751</t>
  </si>
  <si>
    <t>1:31.228</t>
  </si>
  <si>
    <t>1:31.414</t>
  </si>
  <si>
    <t>1:31.245</t>
  </si>
  <si>
    <t>Racing bulls Honda RBPT</t>
  </si>
  <si>
    <t>1:31.271</t>
  </si>
  <si>
    <t>1:31.634</t>
  </si>
  <si>
    <t>1:31.886</t>
  </si>
  <si>
    <t>1:31.594</t>
  </si>
  <si>
    <t>1:32.040</t>
  </si>
  <si>
    <t>1:32.067</t>
  </si>
  <si>
    <t>1:32.165</t>
  </si>
  <si>
    <t>1:32.186</t>
  </si>
  <si>
    <t>1:32.283</t>
  </si>
  <si>
    <t>1:32.373</t>
  </si>
  <si>
    <t>1:27.778</t>
  </si>
  <si>
    <t>1:27.529</t>
  </si>
  <si>
    <t>1:27.294</t>
  </si>
  <si>
    <t>1:27.901</t>
  </si>
  <si>
    <t>1:27.545</t>
  </si>
  <si>
    <t>1:27.304</t>
  </si>
  <si>
    <t>1:28.282</t>
  </si>
  <si>
    <t>1:27.599</t>
  </si>
  <si>
    <t>1:27.407</t>
  </si>
  <si>
    <t>1:28.552</t>
  </si>
  <si>
    <t>1:27.866</t>
  </si>
  <si>
    <t>1:27.670</t>
  </si>
  <si>
    <t>1:28.128</t>
  </si>
  <si>
    <t>1:27.798</t>
  </si>
  <si>
    <t>1:28.354</t>
  </si>
  <si>
    <t>1:28.054</t>
  </si>
  <si>
    <t>1:28.164</t>
  </si>
  <si>
    <t>1:28.372</t>
  </si>
  <si>
    <t>1:28.102</t>
  </si>
  <si>
    <t>1:28.201</t>
  </si>
  <si>
    <t>1:28.226</t>
  </si>
  <si>
    <t>1:27.990</t>
  </si>
  <si>
    <t>1:28.204</t>
  </si>
  <si>
    <t>1:28.241</t>
  </si>
  <si>
    <t>1:28.025</t>
  </si>
  <si>
    <t>1:28.367</t>
  </si>
  <si>
    <t>1:27.805</t>
  </si>
  <si>
    <t>1:27.481</t>
  </si>
  <si>
    <t>1:28.279</t>
  </si>
  <si>
    <t>1:28.109</t>
  </si>
  <si>
    <t>1:28.561</t>
  </si>
  <si>
    <t>1:28.191</t>
  </si>
  <si>
    <t>1:28.548</t>
  </si>
  <si>
    <t>1:28.303</t>
  </si>
  <si>
    <t>1:28.571</t>
  </si>
  <si>
    <t>1:28.418</t>
  </si>
  <si>
    <t>1:28.536</t>
  </si>
  <si>
    <t>1:28.648</t>
  </si>
  <si>
    <t>1:28.645</t>
  </si>
  <si>
    <t>1:28.739</t>
  </si>
  <si>
    <t>1:28.782</t>
  </si>
  <si>
    <t>1:29.092</t>
  </si>
  <si>
    <t>1:29.462</t>
  </si>
  <si>
    <t>1:26.870</t>
  </si>
  <si>
    <t>1:26.643</t>
  </si>
  <si>
    <t>1:26.204</t>
  </si>
  <si>
    <t>1:26.955</t>
  </si>
  <si>
    <t>1:26.499</t>
  </si>
  <si>
    <t>1:26.269</t>
  </si>
  <si>
    <t>1:27.077</t>
  </si>
  <si>
    <t>1:26.606</t>
  </si>
  <si>
    <t>1:26.271</t>
  </si>
  <si>
    <t>1:27.006</t>
  </si>
  <si>
    <t>1:26.375</t>
  </si>
  <si>
    <t>1:27.014</t>
  </si>
  <si>
    <t>1:26.575</t>
  </si>
  <si>
    <t>1:26.385</t>
  </si>
  <si>
    <t>1:27.098</t>
  </si>
  <si>
    <t>1:26.847</t>
  </si>
  <si>
    <t>1:26.569</t>
  </si>
  <si>
    <t>1:27.042</t>
  </si>
  <si>
    <t>1:26.855</t>
  </si>
  <si>
    <t>1:26.682</t>
  </si>
  <si>
    <t>1:27.417</t>
  </si>
  <si>
    <t>1:26.948</t>
  </si>
  <si>
    <t>1:26.754</t>
  </si>
  <si>
    <t>1:27.450</t>
  </si>
  <si>
    <t>1:26.967</t>
  </si>
  <si>
    <t>1:26.824</t>
  </si>
  <si>
    <t>1:27.298</t>
  </si>
  <si>
    <t>1:26.959</t>
  </si>
  <si>
    <t>1:26.943</t>
  </si>
  <si>
    <t>1:27.301</t>
  </si>
  <si>
    <t>1:26.987</t>
  </si>
  <si>
    <t>1:27.279</t>
  </si>
  <si>
    <t>1:27.343</t>
  </si>
  <si>
    <t>1:27.151</t>
  </si>
  <si>
    <t>1:27.422</t>
  </si>
  <si>
    <t>1:27.186</t>
  </si>
  <si>
    <t>1:27.444</t>
  </si>
  <si>
    <t>1:27.363</t>
  </si>
  <si>
    <t>1:27.473</t>
  </si>
  <si>
    <t>1:27.604</t>
  </si>
  <si>
    <t>1:27.710</t>
  </si>
  <si>
    <t>1:27.830</t>
  </si>
  <si>
    <t>1:27.999</t>
  </si>
  <si>
    <t>1:15.500</t>
  </si>
  <si>
    <t>1:15.214</t>
  </si>
  <si>
    <t>1:14.670</t>
  </si>
  <si>
    <t>Red Bull Racing honda RBPT</t>
  </si>
  <si>
    <t>1:15.175</t>
  </si>
  <si>
    <t>1:15.394</t>
  </si>
  <si>
    <t>1:14.704</t>
  </si>
  <si>
    <t>1:15.852</t>
  </si>
  <si>
    <t>1:15.334</t>
  </si>
  <si>
    <t>1:14.807</t>
  </si>
  <si>
    <t>1:15.894</t>
  </si>
  <si>
    <t>1:15.261</t>
  </si>
  <si>
    <t>1:14.962</t>
  </si>
  <si>
    <t>1:15.695</t>
  </si>
  <si>
    <t>1:15.442</t>
  </si>
  <si>
    <t>1:15.431</t>
  </si>
  <si>
    <t>1:15.987</t>
  </si>
  <si>
    <t>1:15.198</t>
  </si>
  <si>
    <t>1:15.432</t>
  </si>
  <si>
    <t>1:16.123</t>
  </si>
  <si>
    <t>1:15.521</t>
  </si>
  <si>
    <t>1:15.473</t>
  </si>
  <si>
    <t>1:15.817</t>
  </si>
  <si>
    <t>1:15.497</t>
  </si>
  <si>
    <t>1:15.581</t>
  </si>
  <si>
    <t>1:16.253</t>
  </si>
  <si>
    <t>1:15.510</t>
  </si>
  <si>
    <t>1:15.746</t>
  </si>
  <si>
    <t>1:15.937</t>
  </si>
  <si>
    <t>1:15.505</t>
  </si>
  <si>
    <t>1:15.787</t>
  </si>
  <si>
    <t>1:16.108</t>
  </si>
  <si>
    <t>1:15.604</t>
  </si>
  <si>
    <t>1:16.163</t>
  </si>
  <si>
    <t>1:15.765</t>
  </si>
  <si>
    <t>1:15.943</t>
  </si>
  <si>
    <t>1:15.772</t>
  </si>
  <si>
    <t>1:16.340</t>
  </si>
  <si>
    <t>1:16.260</t>
  </si>
  <si>
    <t>1:16.256</t>
  </si>
  <si>
    <t>1:16.379</t>
  </si>
  <si>
    <t>1:16.518</t>
  </si>
  <si>
    <t>1:16.613</t>
  </si>
  <si>
    <t>1:16.918</t>
  </si>
  <si>
    <t>1:11.285</t>
  </si>
  <si>
    <t>1:10.570</t>
  </si>
  <si>
    <t>1:09.954</t>
  </si>
  <si>
    <t>1:11.229</t>
  </si>
  <si>
    <t>1:10.581</t>
  </si>
  <si>
    <t>1:10.063</t>
  </si>
  <si>
    <t>1:11.308</t>
  </si>
  <si>
    <t>1:10.858</t>
  </si>
  <si>
    <t>1:10.129</t>
  </si>
  <si>
    <t>1:11.575</t>
  </si>
  <si>
    <t>1:10.883</t>
  </si>
  <si>
    <t>1:10.382</t>
  </si>
  <si>
    <t>1:11.431</t>
  </si>
  <si>
    <t>1:10.875</t>
  </si>
  <si>
    <t>1:10.669</t>
  </si>
  <si>
    <t>1:11.811</t>
  </si>
  <si>
    <t>1:11.040</t>
  </si>
  <si>
    <t>1:10.923</t>
  </si>
  <si>
    <t>1:11.674</t>
  </si>
  <si>
    <t>1:11.182</t>
  </si>
  <si>
    <t>1:10.924</t>
  </si>
  <si>
    <t>1:11.839</t>
  </si>
  <si>
    <t>1:11.262</t>
  </si>
  <si>
    <t>1:10.942</t>
  </si>
  <si>
    <t>1:11.818</t>
  </si>
  <si>
    <t>1:11.250</t>
  </si>
  <si>
    <t>1:11.129</t>
  </si>
  <si>
    <t>1:11.629</t>
  </si>
  <si>
    <t>1:10.732</t>
  </si>
  <si>
    <t>1:11.213</t>
  </si>
  <si>
    <t>1:11.707</t>
  </si>
  <si>
    <t>1:11.362</t>
  </si>
  <si>
    <t>1:11.800</t>
  </si>
  <si>
    <t>1:11.415</t>
  </si>
  <si>
    <t>1:11.871</t>
  </si>
  <si>
    <t>1:11.596</t>
  </si>
  <si>
    <t>1:11.507</t>
  </si>
  <si>
    <t>1:11.880</t>
  </si>
  <si>
    <t>1:11.902</t>
  </si>
  <si>
    <t>1:11.979</t>
  </si>
  <si>
    <t>1:11.994</t>
  </si>
  <si>
    <t>1:12.563</t>
  </si>
  <si>
    <t>1:12.597</t>
  </si>
  <si>
    <t>1:12.591</t>
  </si>
  <si>
    <t>1:11.998</t>
  </si>
  <si>
    <t>1:11.546</t>
  </si>
  <si>
    <t>1:12.799</t>
  </si>
  <si>
    <t>1:12.056</t>
  </si>
  <si>
    <t>1:11.755</t>
  </si>
  <si>
    <t>1:12.798</t>
  </si>
  <si>
    <t>1:12.358</t>
  </si>
  <si>
    <t>1:11.848</t>
  </si>
  <si>
    <t>1:12.806</t>
  </si>
  <si>
    <t>1:12.407</t>
  </si>
  <si>
    <t>1:13.058</t>
  </si>
  <si>
    <t>1:12.447</t>
  </si>
  <si>
    <t>1:12.045</t>
  </si>
  <si>
    <t>1:12.815</t>
  </si>
  <si>
    <t>1:12.585</t>
  </si>
  <si>
    <t>1:12.111</t>
  </si>
  <si>
    <t>1:13.014</t>
  </si>
  <si>
    <t>1:12.495</t>
  </si>
  <si>
    <t>1:12.131</t>
  </si>
  <si>
    <t>1:13.081</t>
  </si>
  <si>
    <t>1:12.611</t>
  </si>
  <si>
    <t>1:12.199</t>
  </si>
  <si>
    <t>1:13.139</t>
  </si>
  <si>
    <t>1:12.461</t>
  </si>
  <si>
    <t>1:12.252</t>
  </si>
  <si>
    <t>1:13.102</t>
  </si>
  <si>
    <t>1:12.523</t>
  </si>
  <si>
    <t>1:12.284</t>
  </si>
  <si>
    <t>1:13.044</t>
  </si>
  <si>
    <t>1:12.641</t>
  </si>
  <si>
    <t>1:13.045</t>
  </si>
  <si>
    <t>1:12.756</t>
  </si>
  <si>
    <t>1:13.039</t>
  </si>
  <si>
    <t>1:12.763</t>
  </si>
  <si>
    <t>1:13.038</t>
  </si>
  <si>
    <t>1:13.074</t>
  </si>
  <si>
    <t>1:13.315</t>
  </si>
  <si>
    <t>1:13.190</t>
  </si>
  <si>
    <t>1:13.201</t>
  </si>
  <si>
    <t>1:13.203</t>
  </si>
  <si>
    <t>Franco Colapintop</t>
  </si>
  <si>
    <t>1:13.334</t>
  </si>
  <si>
    <t>1:13.385</t>
  </si>
  <si>
    <t>Abbreviation</t>
  </si>
  <si>
    <t>Race Number</t>
  </si>
  <si>
    <t>Country</t>
  </si>
  <si>
    <t>Grand Prix Entered</t>
  </si>
  <si>
    <t>Career Points</t>
  </si>
  <si>
    <t>Highest Race Finish</t>
  </si>
  <si>
    <t>Podiums</t>
  </si>
  <si>
    <t>Highest Grid Position</t>
  </si>
  <si>
    <t>Pole Positions</t>
  </si>
  <si>
    <t>World Championships</t>
  </si>
  <si>
    <t>DNFs</t>
  </si>
  <si>
    <t>Date of Birth</t>
  </si>
  <si>
    <t>Place of Birth</t>
  </si>
  <si>
    <t>NOR</t>
  </si>
  <si>
    <t>McLaren</t>
  </si>
  <si>
    <t>United Kingdom</t>
  </si>
  <si>
    <t>1(x11)</t>
  </si>
  <si>
    <t>1(x16)</t>
  </si>
  <si>
    <t>Bristol, England</t>
  </si>
  <si>
    <t>PIA</t>
  </si>
  <si>
    <t>1(x9)</t>
  </si>
  <si>
    <t>1(x6)</t>
  </si>
  <si>
    <t>Melbourne, Victoria</t>
  </si>
  <si>
    <t>RUS</t>
  </si>
  <si>
    <t>1(x5)</t>
  </si>
  <si>
    <t>1(x8)</t>
  </si>
  <si>
    <t>King's Lynn, England</t>
  </si>
  <si>
    <t>ANT</t>
  </si>
  <si>
    <t>Italy</t>
  </si>
  <si>
    <t>2(x1)</t>
  </si>
  <si>
    <t>Bologna, Italy</t>
  </si>
  <si>
    <t>VER</t>
  </si>
  <si>
    <t>Red Bull Racing</t>
  </si>
  <si>
    <t>Netherlands</t>
  </si>
  <si>
    <t>1(x71)</t>
  </si>
  <si>
    <t>1(x48)</t>
  </si>
  <si>
    <t>Hasselt, Belgium</t>
  </si>
  <si>
    <t>TSU</t>
  </si>
  <si>
    <t>4(x1)</t>
  </si>
  <si>
    <t>3(x1)</t>
  </si>
  <si>
    <t>Sagamihara, Japan</t>
  </si>
  <si>
    <t>LEC</t>
  </si>
  <si>
    <t>1(x27)</t>
  </si>
  <si>
    <t>Monte Carlo, Monaco</t>
  </si>
  <si>
    <t>HAM</t>
  </si>
  <si>
    <t>1(x105)</t>
  </si>
  <si>
    <t>1(x104)</t>
  </si>
  <si>
    <t>Stevenage, England</t>
  </si>
  <si>
    <t>ALB</t>
  </si>
  <si>
    <t>Williams</t>
  </si>
  <si>
    <t>Thailand</t>
  </si>
  <si>
    <t>3(x2)</t>
  </si>
  <si>
    <t>4(x5)</t>
  </si>
  <si>
    <t>London, England</t>
  </si>
  <si>
    <t>SAI</t>
  </si>
  <si>
    <t>1(x4)</t>
  </si>
  <si>
    <t>Madrid, Spain</t>
  </si>
  <si>
    <t>LAW</t>
  </si>
  <si>
    <t>Racing Bulls</t>
  </si>
  <si>
    <t>New Zealand</t>
  </si>
  <si>
    <t>5(x1)</t>
  </si>
  <si>
    <t>Hastings, New Zealand</t>
  </si>
  <si>
    <t>Isack Hajdar</t>
  </si>
  <si>
    <t>HAD</t>
  </si>
  <si>
    <t>France</t>
  </si>
  <si>
    <t>Paris, France</t>
  </si>
  <si>
    <t>STR</t>
  </si>
  <si>
    <t>Aston Martin</t>
  </si>
  <si>
    <t>Canada</t>
  </si>
  <si>
    <t>3(x3)</t>
  </si>
  <si>
    <t>1(x1)</t>
  </si>
  <si>
    <t>Montreal, Canada</t>
  </si>
  <si>
    <t>ALO</t>
  </si>
  <si>
    <t>1(x32)</t>
  </si>
  <si>
    <t>1(x22)</t>
  </si>
  <si>
    <t>Oviedo, Spain</t>
  </si>
  <si>
    <t>OCO</t>
  </si>
  <si>
    <t>Haas</t>
  </si>
  <si>
    <t>Evreux, Normandy</t>
  </si>
  <si>
    <t>BEA</t>
  </si>
  <si>
    <t>8(x2)</t>
  </si>
  <si>
    <t>Chelmsford, England</t>
  </si>
  <si>
    <t>HUL</t>
  </si>
  <si>
    <t>Kick Sauber</t>
  </si>
  <si>
    <t>Germany</t>
  </si>
  <si>
    <t>Emmerich am Rhein, Germany</t>
  </si>
  <si>
    <t>BOR</t>
  </si>
  <si>
    <t>Brazil</t>
  </si>
  <si>
    <t>6(x1)</t>
  </si>
  <si>
    <t>7(x3)</t>
  </si>
  <si>
    <t>São Paulo, Brazil</t>
  </si>
  <si>
    <t>GAS</t>
  </si>
  <si>
    <t>Alpine</t>
  </si>
  <si>
    <t>Rouen, France</t>
  </si>
  <si>
    <t>COL</t>
  </si>
  <si>
    <t>Argentina</t>
  </si>
  <si>
    <t>8(x1)</t>
  </si>
  <si>
    <t>Buenos Aires, Argentina</t>
  </si>
  <si>
    <t>DOO</t>
  </si>
  <si>
    <t>13(x1)</t>
  </si>
  <si>
    <t>11(x1)</t>
  </si>
  <si>
    <t>Gold Coast, Australia</t>
  </si>
  <si>
    <t>Full Team Name</t>
  </si>
  <si>
    <t>Base</t>
  </si>
  <si>
    <t>Team Chief</t>
  </si>
  <si>
    <t>Technical Chief</t>
  </si>
  <si>
    <t>Chassis</t>
  </si>
  <si>
    <t>Power Unit</t>
  </si>
  <si>
    <t>First Team Entry</t>
  </si>
  <si>
    <t>Team Points</t>
  </si>
  <si>
    <t>McLaren Formula 1 Team</t>
  </si>
  <si>
    <t>Woking, United Kingdom</t>
  </si>
  <si>
    <t>Andrea Stella</t>
  </si>
  <si>
    <t>Peter Prodromou / Neil Houldey</t>
  </si>
  <si>
    <t>MCL39</t>
  </si>
  <si>
    <t>1(x203)</t>
  </si>
  <si>
    <t>1(x177)</t>
  </si>
  <si>
    <t>Mercedes-AMG Petronas Formula One Team</t>
  </si>
  <si>
    <t>Brackley, United Kingdom</t>
  </si>
  <si>
    <t>Toto Wolff</t>
  </si>
  <si>
    <t>James Allison</t>
  </si>
  <si>
    <t>W16</t>
  </si>
  <si>
    <t>1(x122)</t>
  </si>
  <si>
    <t>1(x136)</t>
  </si>
  <si>
    <t>Oracle Red Bull Racing</t>
  </si>
  <si>
    <t>Milton Keynes, United Kingdom</t>
  </si>
  <si>
    <t>Laurent Mekies</t>
  </si>
  <si>
    <t>Pierre Waché</t>
  </si>
  <si>
    <t>RB21</t>
  </si>
  <si>
    <t>Honda RBPT</t>
  </si>
  <si>
    <t>1(x130)</t>
  </si>
  <si>
    <t>1(x111)</t>
  </si>
  <si>
    <t>Scuderia Ferrari HP</t>
  </si>
  <si>
    <t>Maranello, Italy</t>
  </si>
  <si>
    <t>Frédéric Vasseur</t>
  </si>
  <si>
    <t>Loic Serra / Enrico Gualtieri</t>
  </si>
  <si>
    <t>SF-25</t>
  </si>
  <si>
    <t>1(x249)</t>
  </si>
  <si>
    <t>1(x254)</t>
  </si>
  <si>
    <t>Atlassian Williams Racing</t>
  </si>
  <si>
    <t>Grove, United Kingdom</t>
  </si>
  <si>
    <t>James Vowles</t>
  </si>
  <si>
    <t>Pat Fry</t>
  </si>
  <si>
    <t>FW47</t>
  </si>
  <si>
    <t>1(x114)</t>
  </si>
  <si>
    <t>1(x128)</t>
  </si>
  <si>
    <t>Visa Cash App Racing Bulls Formula One Team</t>
  </si>
  <si>
    <t>Faenza, Italy</t>
  </si>
  <si>
    <t>Alan Permane</t>
  </si>
  <si>
    <t>Tim Goss</t>
  </si>
  <si>
    <t>VCARB 02</t>
  </si>
  <si>
    <t>1(x2)</t>
  </si>
  <si>
    <t>Aston Martin Aramco Formula One Team</t>
  </si>
  <si>
    <t>Silverstone, United Kingdom</t>
  </si>
  <si>
    <t>Andy Cowell</t>
  </si>
  <si>
    <t>Enrico Cardile</t>
  </si>
  <si>
    <t>AMR25</t>
  </si>
  <si>
    <t>Haas F1 Team</t>
  </si>
  <si>
    <t>MoneyGram Haas F1 Team</t>
  </si>
  <si>
    <t>Kannapolis, United States</t>
  </si>
  <si>
    <t>Ayao Komatsu</t>
  </si>
  <si>
    <t>Andrea De Zordo</t>
  </si>
  <si>
    <t>VF-25</t>
  </si>
  <si>
    <t>4(x2)</t>
  </si>
  <si>
    <t>Stake F1 Team Kick Sauber</t>
  </si>
  <si>
    <t>Hinwil, Switzerland</t>
  </si>
  <si>
    <t>Jonathan Wheatley</t>
  </si>
  <si>
    <t>James Key</t>
  </si>
  <si>
    <t>C45</t>
  </si>
  <si>
    <t>BWT Alpine Formula One Team</t>
  </si>
  <si>
    <t>Enstone, United Kingdom</t>
  </si>
  <si>
    <t>Flavio Briatore</t>
  </si>
  <si>
    <t>David Sanchez</t>
  </si>
  <si>
    <t>A525</t>
  </si>
  <si>
    <t>Renault</t>
  </si>
  <si>
    <t>1(x21)</t>
  </si>
  <si>
    <t>1(x20)</t>
  </si>
  <si>
    <t>1:31:44.742</t>
  </si>
  <si>
    <t>1:32.608</t>
  </si>
  <si>
    <t>Sergio Perez</t>
  </si>
  <si>
    <t>+22.457</t>
  </si>
  <si>
    <t>1:34.364</t>
  </si>
  <si>
    <t>+25.110</t>
  </si>
  <si>
    <t>1:34.507</t>
  </si>
  <si>
    <t>+39.669</t>
  </si>
  <si>
    <t>1:34.090</t>
  </si>
  <si>
    <t>+46.788</t>
  </si>
  <si>
    <t>1:35.065</t>
  </si>
  <si>
    <t>+48.458</t>
  </si>
  <si>
    <t>1:34.476</t>
  </si>
  <si>
    <t>+50.324</t>
  </si>
  <si>
    <t>1:34.722</t>
  </si>
  <si>
    <t>+56.082</t>
  </si>
  <si>
    <t>1:34.983</t>
  </si>
  <si>
    <t>+74.887</t>
  </si>
  <si>
    <t>1:34.199</t>
  </si>
  <si>
    <t>+93.216</t>
  </si>
  <si>
    <t>1:35.632</t>
  </si>
  <si>
    <t>Guanyu Zhou</t>
  </si>
  <si>
    <t>1:35.458</t>
  </si>
  <si>
    <t>Kevin Magnussen</t>
  </si>
  <si>
    <t>1:35.570</t>
  </si>
  <si>
    <t>Daniel Ricciardo</t>
  </si>
  <si>
    <t>RB Honda RBPT</t>
  </si>
  <si>
    <t>1:35.163</t>
  </si>
  <si>
    <t>1:35.833</t>
  </si>
  <si>
    <t>1:35.723</t>
  </si>
  <si>
    <t>1:34.834</t>
  </si>
  <si>
    <t>1:36.226</t>
  </si>
  <si>
    <t>1:34.805</t>
  </si>
  <si>
    <t>Valtteri Bottas</t>
  </si>
  <si>
    <t>1:36.202</t>
  </si>
  <si>
    <t>Logan Sargeant</t>
  </si>
  <si>
    <t>1:34.735</t>
  </si>
  <si>
    <t>1:20:43.273</t>
  </si>
  <si>
    <t>+13.643</t>
  </si>
  <si>
    <t>1:32.273</t>
  </si>
  <si>
    <t>+18.639</t>
  </si>
  <si>
    <t>+32.007</t>
  </si>
  <si>
    <t>1:32.310</t>
  </si>
  <si>
    <t>+35.759</t>
  </si>
  <si>
    <t>1:32.387</t>
  </si>
  <si>
    <t>+39.936</t>
  </si>
  <si>
    <t>1:32.254</t>
  </si>
  <si>
    <t>+42.679</t>
  </si>
  <si>
    <t>+45.708</t>
  </si>
  <si>
    <t>1:31.944</t>
  </si>
  <si>
    <t>+47.391</t>
  </si>
  <si>
    <t>1:31.746</t>
  </si>
  <si>
    <t>+76.996</t>
  </si>
  <si>
    <t>1:32.366</t>
  </si>
  <si>
    <t>+88.354</t>
  </si>
  <si>
    <t>1:32.307</t>
  </si>
  <si>
    <t>+105.737</t>
  </si>
  <si>
    <t>1:32.338</t>
  </si>
  <si>
    <t>1:33.481</t>
  </si>
  <si>
    <t>1:33.026</t>
  </si>
  <si>
    <t>1:33.523</t>
  </si>
  <si>
    <t>1:33.323</t>
  </si>
  <si>
    <t>1:32.706</t>
  </si>
  <si>
    <t>1:32.208</t>
  </si>
  <si>
    <t>1:35.560</t>
  </si>
  <si>
    <t>1:20:26.843</t>
  </si>
  <si>
    <t>1:20.031</t>
  </si>
  <si>
    <t>+2.366</t>
  </si>
  <si>
    <t>1:19.813</t>
  </si>
  <si>
    <t>+5.904</t>
  </si>
  <si>
    <t>1:19.915</t>
  </si>
  <si>
    <t>+35.770</t>
  </si>
  <si>
    <t>1:20.199</t>
  </si>
  <si>
    <t>+56.309</t>
  </si>
  <si>
    <t>1:20.388</t>
  </si>
  <si>
    <t>+93.222</t>
  </si>
  <si>
    <t>1:20.930</t>
  </si>
  <si>
    <t>+95.601</t>
  </si>
  <si>
    <t>1:21.134</t>
  </si>
  <si>
    <t>+100.992</t>
  </si>
  <si>
    <t>1:20.493</t>
  </si>
  <si>
    <t>+104.553</t>
  </si>
  <si>
    <t>1:21.145</t>
  </si>
  <si>
    <t>1:21.082</t>
  </si>
  <si>
    <t>1:21.618</t>
  </si>
  <si>
    <t>1:21.239</t>
  </si>
  <si>
    <t>1:21.090</t>
  </si>
  <si>
    <t>1:21.422</t>
  </si>
  <si>
    <t>1:21.327</t>
  </si>
  <si>
    <t>1:21.354</t>
  </si>
  <si>
    <t>1:20.284</t>
  </si>
  <si>
    <t>1:22.444</t>
  </si>
  <si>
    <t>1:23.115</t>
  </si>
  <si>
    <t>1:54:23.566</t>
  </si>
  <si>
    <t>1:33.706</t>
  </si>
  <si>
    <t>+12.535</t>
  </si>
  <si>
    <t>1:33.945</t>
  </si>
  <si>
    <t>+20.866</t>
  </si>
  <si>
    <t>1:33.841</t>
  </si>
  <si>
    <t>+26.522</t>
  </si>
  <si>
    <t>1:35.044</t>
  </si>
  <si>
    <t>+29.700</t>
  </si>
  <si>
    <t>1:35.186</t>
  </si>
  <si>
    <t>+44.272</t>
  </si>
  <si>
    <t>1:34.726</t>
  </si>
  <si>
    <t>+45.951</t>
  </si>
  <si>
    <t>1:34.404</t>
  </si>
  <si>
    <t>+47.525</t>
  </si>
  <si>
    <t>1:34.802</t>
  </si>
  <si>
    <t>+48.626</t>
  </si>
  <si>
    <t>1:33.952</t>
  </si>
  <si>
    <t>1:36.342</t>
  </si>
  <si>
    <t>1:35.325</t>
  </si>
  <si>
    <t>1:35.798</t>
  </si>
  <si>
    <t>1:36.654</t>
  </si>
  <si>
    <t>1:36.608</t>
  </si>
  <si>
    <t>1:36.232</t>
  </si>
  <si>
    <t>1:36.642</t>
  </si>
  <si>
    <t>1:34.900</t>
  </si>
  <si>
    <t>1:37.160</t>
  </si>
  <si>
    <t>1:40:52.554</t>
  </si>
  <si>
    <t>1:38.406</t>
  </si>
  <si>
    <t>+13.773</t>
  </si>
  <si>
    <t>1:38.751</t>
  </si>
  <si>
    <t>+19.160</t>
  </si>
  <si>
    <t>1:39.388</t>
  </si>
  <si>
    <t>+23.623</t>
  </si>
  <si>
    <t>1:39.384</t>
  </si>
  <si>
    <t>+33.983</t>
  </si>
  <si>
    <t>1:39.764</t>
  </si>
  <si>
    <t>+38.724</t>
  </si>
  <si>
    <t>1:40.112</t>
  </si>
  <si>
    <t>+43.414</t>
  </si>
  <si>
    <t>1:37.810</t>
  </si>
  <si>
    <t>+56.198</t>
  </si>
  <si>
    <t>1:39.739</t>
  </si>
  <si>
    <t>+57.986</t>
  </si>
  <si>
    <t>1:40.835</t>
  </si>
  <si>
    <t>+60.476</t>
  </si>
  <si>
    <t>1:40.815</t>
  </si>
  <si>
    <t>+62.812</t>
  </si>
  <si>
    <t>1:40.937</t>
  </si>
  <si>
    <t>+65.506</t>
  </si>
  <si>
    <t>1:40.790</t>
  </si>
  <si>
    <t>+69.223</t>
  </si>
  <si>
    <t>1:39.198</t>
  </si>
  <si>
    <t>+71.689</t>
  </si>
  <si>
    <t>1:38.633</t>
  </si>
  <si>
    <t>+82.786</t>
  </si>
  <si>
    <t>1:39.444</t>
  </si>
  <si>
    <t>+87.533</t>
  </si>
  <si>
    <t>1:41.077</t>
  </si>
  <si>
    <t>+95.110</t>
  </si>
  <si>
    <t>1:41.000</t>
  </si>
  <si>
    <t>1:40.994</t>
  </si>
  <si>
    <t>1:41.593</t>
  </si>
  <si>
    <t>1:41.276</t>
  </si>
  <si>
    <t>1:30:49.876</t>
  </si>
  <si>
    <t>1:30.980</t>
  </si>
  <si>
    <t>+7.612</t>
  </si>
  <si>
    <t>1:31.261</t>
  </si>
  <si>
    <t>+9.920</t>
  </si>
  <si>
    <t>1:31.084</t>
  </si>
  <si>
    <t>+14.650</t>
  </si>
  <si>
    <t>1:30.855</t>
  </si>
  <si>
    <t>+16.407</t>
  </si>
  <si>
    <t>1:30.928</t>
  </si>
  <si>
    <t>+16.585</t>
  </si>
  <si>
    <t>1:31.233</t>
  </si>
  <si>
    <t>+26.185</t>
  </si>
  <si>
    <t>1:31.682</t>
  </si>
  <si>
    <t>+34.789</t>
  </si>
  <si>
    <t>+37.107</t>
  </si>
  <si>
    <t>1:31.727</t>
  </si>
  <si>
    <t>+39.746</t>
  </si>
  <si>
    <t>1:32.037</t>
  </si>
  <si>
    <t>+40.789</t>
  </si>
  <si>
    <t>1:31.941</t>
  </si>
  <si>
    <t>+44.958</t>
  </si>
  <si>
    <t>1:32.055</t>
  </si>
  <si>
    <t>+49.756</t>
  </si>
  <si>
    <t>1:30.634</t>
  </si>
  <si>
    <t>+49.979</t>
  </si>
  <si>
    <t>1:31.991</t>
  </si>
  <si>
    <t>+50.956</t>
  </si>
  <si>
    <t>1:32.122</t>
  </si>
  <si>
    <t>+52.356</t>
  </si>
  <si>
    <t>1:32.098</t>
  </si>
  <si>
    <t>+55.173</t>
  </si>
  <si>
    <t>1:31.588</t>
  </si>
  <si>
    <t>+76.091</t>
  </si>
  <si>
    <t>1:30.849</t>
  </si>
  <si>
    <t>+84.683</t>
  </si>
  <si>
    <t>1:31.774</t>
  </si>
  <si>
    <t>1:33.452</t>
  </si>
  <si>
    <t>Emilia Romagna</t>
  </si>
  <si>
    <t>1:25:25.252</t>
  </si>
  <si>
    <t>1:20.366</t>
  </si>
  <si>
    <t>+0.725</t>
  </si>
  <si>
    <t>1:19.994</t>
  </si>
  <si>
    <t>+7.916</t>
  </si>
  <si>
    <t>1:19.935</t>
  </si>
  <si>
    <t>+14.132</t>
  </si>
  <si>
    <t>1:19.907</t>
  </si>
  <si>
    <t>+22.325</t>
  </si>
  <si>
    <t>1:20.220</t>
  </si>
  <si>
    <t>+35.104</t>
  </si>
  <si>
    <t>1:20.331</t>
  </si>
  <si>
    <t>+47.154</t>
  </si>
  <si>
    <t>1:18.589</t>
  </si>
  <si>
    <t>+54.776</t>
  </si>
  <si>
    <t>1:19.686</t>
  </si>
  <si>
    <t>+79.556</t>
  </si>
  <si>
    <t>1:20.570</t>
  </si>
  <si>
    <t>1:20.936</t>
  </si>
  <si>
    <t>1:21.700</t>
  </si>
  <si>
    <t>1:21.009</t>
  </si>
  <si>
    <t>1:21.569</t>
  </si>
  <si>
    <t>1:21.304</t>
  </si>
  <si>
    <t>1:21.016</t>
  </si>
  <si>
    <t>1:21.371</t>
  </si>
  <si>
    <t>1:21.229</t>
  </si>
  <si>
    <t>1:21.455</t>
  </si>
  <si>
    <t>1:19.004</t>
  </si>
  <si>
    <t>1:21.274</t>
  </si>
  <si>
    <t>2:23:15.554</t>
  </si>
  <si>
    <t>1:15.162</t>
  </si>
  <si>
    <t>+7.152</t>
  </si>
  <si>
    <t>1:16.281</t>
  </si>
  <si>
    <t>+7.585</t>
  </si>
  <si>
    <t>1:14.726</t>
  </si>
  <si>
    <t>+8.650</t>
  </si>
  <si>
    <t>1:15.742</t>
  </si>
  <si>
    <t>+13.309</t>
  </si>
  <si>
    <t>1:15.228</t>
  </si>
  <si>
    <t>+13.853</t>
  </si>
  <si>
    <t>1:14.569</t>
  </si>
  <si>
    <t>+14.908</t>
  </si>
  <si>
    <t>1:14.165</t>
  </si>
  <si>
    <t>1:14.720</t>
  </si>
  <si>
    <t>1:17.060</t>
  </si>
  <si>
    <t>1:15.625</t>
  </si>
  <si>
    <t>1:17.939</t>
  </si>
  <si>
    <t>1:17.172</t>
  </si>
  <si>
    <t>1:16.561</t>
  </si>
  <si>
    <t>1:16.710</t>
  </si>
  <si>
    <t>1:15.525</t>
  </si>
  <si>
    <t>1:14.718</t>
  </si>
  <si>
    <t>1:45:47.927</t>
  </si>
  <si>
    <t>1:15.569</t>
  </si>
  <si>
    <t>+3.879</t>
  </si>
  <si>
    <t>1:15.558</t>
  </si>
  <si>
    <t>+4.317</t>
  </si>
  <si>
    <t>1:14.895</t>
  </si>
  <si>
    <t>+4.915</t>
  </si>
  <si>
    <t>1:14.856</t>
  </si>
  <si>
    <t>+10.199</t>
  </si>
  <si>
    <t>1:16.247</t>
  </si>
  <si>
    <t>+17.510</t>
  </si>
  <si>
    <t>1:16.303</t>
  </si>
  <si>
    <t>+23.625</t>
  </si>
  <si>
    <t>1:16.762</t>
  </si>
  <si>
    <t>+28.672</t>
  </si>
  <si>
    <t>1:17.076</t>
  </si>
  <si>
    <t>+30.021</t>
  </si>
  <si>
    <t>1:17.013</t>
  </si>
  <si>
    <t>+30.313</t>
  </si>
  <si>
    <t>1:17.012</t>
  </si>
  <si>
    <t>+30.824</t>
  </si>
  <si>
    <t>1:16.683</t>
  </si>
  <si>
    <t>+31.253</t>
  </si>
  <si>
    <t>1:16.499</t>
  </si>
  <si>
    <t>+40.487</t>
  </si>
  <si>
    <t>1:17.250</t>
  </si>
  <si>
    <t>+52.694</t>
  </si>
  <si>
    <t>1:17.309</t>
  </si>
  <si>
    <t>1:17.325</t>
  </si>
  <si>
    <t>1:18.957</t>
  </si>
  <si>
    <t>1:19.359</t>
  </si>
  <si>
    <t>1:18.819</t>
  </si>
  <si>
    <t>1:26.012</t>
  </si>
  <si>
    <t>1:26.484</t>
  </si>
  <si>
    <t>1:28:20.227</t>
  </si>
  <si>
    <t>1:17.776</t>
  </si>
  <si>
    <t>+2.219</t>
  </si>
  <si>
    <t>1:17.115</t>
  </si>
  <si>
    <t>+17.790</t>
  </si>
  <si>
    <t>1:17.809</t>
  </si>
  <si>
    <t>+22.320</t>
  </si>
  <si>
    <t>1:18.290</t>
  </si>
  <si>
    <t>+22.709</t>
  </si>
  <si>
    <t>1:17.897</t>
  </si>
  <si>
    <t>+31.028</t>
  </si>
  <si>
    <t>1:18.539</t>
  </si>
  <si>
    <t>+33.760</t>
  </si>
  <si>
    <t>1:17.874</t>
  </si>
  <si>
    <t>+59.524</t>
  </si>
  <si>
    <t>1:17.785</t>
  </si>
  <si>
    <t>+62.025</t>
  </si>
  <si>
    <t>1:19.045</t>
  </si>
  <si>
    <t>+71.889</t>
  </si>
  <si>
    <t>1:18.982</t>
  </si>
  <si>
    <t>+79.215</t>
  </si>
  <si>
    <t>1:18.609</t>
  </si>
  <si>
    <t>1:18.334</t>
  </si>
  <si>
    <t>1:18.771</t>
  </si>
  <si>
    <t>1:19.318</t>
  </si>
  <si>
    <t>1:19.450</t>
  </si>
  <si>
    <t>1:19.608</t>
  </si>
  <si>
    <t>1:19.805</t>
  </si>
  <si>
    <t>1:19.132</t>
  </si>
  <si>
    <t>1:19.447</t>
  </si>
  <si>
    <t>1:20.172</t>
  </si>
  <si>
    <t>Austria</t>
  </si>
  <si>
    <t>1:24:22.798</t>
  </si>
  <si>
    <t>1:09.164</t>
  </si>
  <si>
    <t>+1.906</t>
  </si>
  <si>
    <t>1:08.697</t>
  </si>
  <si>
    <t>+4.533</t>
  </si>
  <si>
    <t>1:09.282</t>
  </si>
  <si>
    <t>+23.142</t>
  </si>
  <si>
    <t>1:09.562</t>
  </si>
  <si>
    <t>+37.253</t>
  </si>
  <si>
    <t>1:07.719</t>
  </si>
  <si>
    <t>+54.088</t>
  </si>
  <si>
    <t>1:10.215</t>
  </si>
  <si>
    <t>+54.672</t>
  </si>
  <si>
    <t>1:09.694</t>
  </si>
  <si>
    <t>+60.355</t>
  </si>
  <si>
    <t>1:10.125</t>
  </si>
  <si>
    <t>+61.169</t>
  </si>
  <si>
    <t>1:10.426</t>
  </si>
  <si>
    <t>+61.766</t>
  </si>
  <si>
    <t>1:09.609</t>
  </si>
  <si>
    <t>+67.056</t>
  </si>
  <si>
    <t>1:09.584</t>
  </si>
  <si>
    <t>+68.325</t>
  </si>
  <si>
    <t>1:09.649</t>
  </si>
  <si>
    <t>1:10.143</t>
  </si>
  <si>
    <t>1:10.318</t>
  </si>
  <si>
    <t>1:10.364</t>
  </si>
  <si>
    <t>1:10.449</t>
  </si>
  <si>
    <t>1:10.470</t>
  </si>
  <si>
    <t>1:07.694</t>
  </si>
  <si>
    <t>1:10.406</t>
  </si>
  <si>
    <t>+7 laps</t>
  </si>
  <si>
    <t>1:08.016</t>
  </si>
  <si>
    <t>Great Britain</t>
  </si>
  <si>
    <t>1:22:27.059</t>
  </si>
  <si>
    <t>1:29.438</t>
  </si>
  <si>
    <t>+1.465</t>
  </si>
  <si>
    <t>1:28.952</t>
  </si>
  <si>
    <t>+7.547</t>
  </si>
  <si>
    <t>1:29.262</t>
  </si>
  <si>
    <t>+12.429</t>
  </si>
  <si>
    <t>1:28.748</t>
  </si>
  <si>
    <t>+47.318</t>
  </si>
  <si>
    <t>1:28.293</t>
  </si>
  <si>
    <t>+55.722</t>
  </si>
  <si>
    <t>1:29.836</t>
  </si>
  <si>
    <t>+56.569</t>
  </si>
  <si>
    <t>1:29.897</t>
  </si>
  <si>
    <t>+63.577</t>
  </si>
  <si>
    <t>1:29.710</t>
  </si>
  <si>
    <t>+68.387</t>
  </si>
  <si>
    <t>1:29.718</t>
  </si>
  <si>
    <t>+79.303</t>
  </si>
  <si>
    <t>1:30.229</t>
  </si>
  <si>
    <t>+88.960</t>
  </si>
  <si>
    <t>1:29.972</t>
  </si>
  <si>
    <t>+90.153</t>
  </si>
  <si>
    <t>1:30.093</t>
  </si>
  <si>
    <t>1:30.735</t>
  </si>
  <si>
    <t>1:29.748</t>
  </si>
  <si>
    <t>1:31.277</t>
  </si>
  <si>
    <t>1:30.875</t>
  </si>
  <si>
    <t>1:29.707</t>
  </si>
  <si>
    <t>1:31.014</t>
  </si>
  <si>
    <t>1:31.298</t>
  </si>
  <si>
    <t>Hungary</t>
  </si>
  <si>
    <t>1:38:01.989</t>
  </si>
  <si>
    <t>1:21.716</t>
  </si>
  <si>
    <t>+2.141</t>
  </si>
  <si>
    <t>1:21.712</t>
  </si>
  <si>
    <t>+14.880</t>
  </si>
  <si>
    <t>1:22.153</t>
  </si>
  <si>
    <t>+19.686</t>
  </si>
  <si>
    <t>1:22.182</t>
  </si>
  <si>
    <t>+21.349</t>
  </si>
  <si>
    <t>1:20.908</t>
  </si>
  <si>
    <t>+23.073</t>
  </si>
  <si>
    <t>1:21.441</t>
  </si>
  <si>
    <t>+39.792</t>
  </si>
  <si>
    <t>1:21.096</t>
  </si>
  <si>
    <t>+42.368</t>
  </si>
  <si>
    <t>1:20.305</t>
  </si>
  <si>
    <t>+77.259</t>
  </si>
  <si>
    <t>1:23.533</t>
  </si>
  <si>
    <t>+77.976</t>
  </si>
  <si>
    <t>1:22.338</t>
  </si>
  <si>
    <t>+82.460</t>
  </si>
  <si>
    <t>1:23.063</t>
  </si>
  <si>
    <t>1:22.640</t>
  </si>
  <si>
    <t>1:23.461</t>
  </si>
  <si>
    <t>1:23.930</t>
  </si>
  <si>
    <t>1:23.553</t>
  </si>
  <si>
    <t>1:22.792</t>
  </si>
  <si>
    <t>1:20.561</t>
  </si>
  <si>
    <t>1:21.610</t>
  </si>
  <si>
    <t>1:23.487</t>
  </si>
  <si>
    <t>1:23.340</t>
  </si>
  <si>
    <t>Belgium</t>
  </si>
  <si>
    <t>1:19:57.040</t>
  </si>
  <si>
    <t>1:47.113</t>
  </si>
  <si>
    <t>+0.526</t>
  </si>
  <si>
    <t>1:46.653</t>
  </si>
  <si>
    <t>+1.173</t>
  </si>
  <si>
    <t>1:45.840</t>
  </si>
  <si>
    <t>+8.549</t>
  </si>
  <si>
    <t>1:47.013</t>
  </si>
  <si>
    <t>+9.226</t>
  </si>
  <si>
    <t>1:46.128</t>
  </si>
  <si>
    <t>+9.850</t>
  </si>
  <si>
    <t>1:45.563</t>
  </si>
  <si>
    <t>+19.795</t>
  </si>
  <si>
    <t>1:46.364</t>
  </si>
  <si>
    <t>+3.195</t>
  </si>
  <si>
    <t>1:44.701</t>
  </si>
  <si>
    <t>+49.963</t>
  </si>
  <si>
    <t>1:48.051</t>
  </si>
  <si>
    <t>+52.552</t>
  </si>
  <si>
    <t>1:46.957</t>
  </si>
  <si>
    <t>+54.926</t>
  </si>
  <si>
    <t>1:47.435</t>
  </si>
  <si>
    <t>+63.011</t>
  </si>
  <si>
    <t>1:48.105</t>
  </si>
  <si>
    <t>+63.651</t>
  </si>
  <si>
    <t>1:47.996</t>
  </si>
  <si>
    <t>+64.365</t>
  </si>
  <si>
    <t>1:47.418</t>
  </si>
  <si>
    <t>+66.631</t>
  </si>
  <si>
    <t>1:47.848</t>
  </si>
  <si>
    <t>+70.638</t>
  </si>
  <si>
    <t>1:47.019</t>
  </si>
  <si>
    <t>+76.737</t>
  </si>
  <si>
    <t>1:47.969</t>
  </si>
  <si>
    <t>+86.057</t>
  </si>
  <si>
    <t>1:47.490</t>
  </si>
  <si>
    <t>+88.833</t>
  </si>
  <si>
    <t>1:48.954</t>
  </si>
  <si>
    <t>1:52.099</t>
  </si>
  <si>
    <t>1:30:45.519</t>
  </si>
  <si>
    <t>1:13.817</t>
  </si>
  <si>
    <t>+22.896</t>
  </si>
  <si>
    <t>1:14.752</t>
  </si>
  <si>
    <t>+25.439</t>
  </si>
  <si>
    <t>1:14.585</t>
  </si>
  <si>
    <t>+27.337</t>
  </si>
  <si>
    <t>1:14.237</t>
  </si>
  <si>
    <t>+32.137</t>
  </si>
  <si>
    <t>1:14.117</t>
  </si>
  <si>
    <t>+39.542</t>
  </si>
  <si>
    <t>1:14.587</t>
  </si>
  <si>
    <t>+44.617</t>
  </si>
  <si>
    <t>1:13.927</t>
  </si>
  <si>
    <t>+49.599</t>
  </si>
  <si>
    <t>1:13.878</t>
  </si>
  <si>
    <t>1:14.758</t>
  </si>
  <si>
    <t>1:15.657</t>
  </si>
  <si>
    <t>1:15.222</t>
  </si>
  <si>
    <t>1:15.255</t>
  </si>
  <si>
    <t>1:14.434</t>
  </si>
  <si>
    <t>1:15.390</t>
  </si>
  <si>
    <t>1:15.539</t>
  </si>
  <si>
    <t>1:15.552</t>
  </si>
  <si>
    <t>1:14.954</t>
  </si>
  <si>
    <t>1:15.822</t>
  </si>
  <si>
    <t>1:15.724</t>
  </si>
  <si>
    <t>1:14:40.727</t>
  </si>
  <si>
    <t>1:23.226</t>
  </si>
  <si>
    <t>+2.664</t>
  </si>
  <si>
    <t>1:21.943</t>
  </si>
  <si>
    <t>+6.153</t>
  </si>
  <si>
    <t>1:21.432</t>
  </si>
  <si>
    <t>+15.621</t>
  </si>
  <si>
    <t>1:23.219</t>
  </si>
  <si>
    <t>+22.820</t>
  </si>
  <si>
    <t>1:21.512</t>
  </si>
  <si>
    <t>+37.932</t>
  </si>
  <si>
    <t>1:21.745</t>
  </si>
  <si>
    <t>+39.715</t>
  </si>
  <si>
    <t>1:22.036</t>
  </si>
  <si>
    <t>+54.148</t>
  </si>
  <si>
    <t>1:22.971</t>
  </si>
  <si>
    <t>+67.456</t>
  </si>
  <si>
    <t>1:23.918</t>
  </si>
  <si>
    <t>+68.302</t>
  </si>
  <si>
    <t>1:23.437</t>
  </si>
  <si>
    <t>+68.495</t>
  </si>
  <si>
    <t>1:22.944</t>
  </si>
  <si>
    <t>+81.308</t>
  </si>
  <si>
    <t>1:23.728</t>
  </si>
  <si>
    <t>+93.452</t>
  </si>
  <si>
    <t>1:24.219</t>
  </si>
  <si>
    <t>1:24.343</t>
  </si>
  <si>
    <t>1:23.755</t>
  </si>
  <si>
    <t>1:23.609</t>
  </si>
  <si>
    <t>1:23.275</t>
  </si>
  <si>
    <t>1:25.092</t>
  </si>
  <si>
    <t>1:22.232</t>
  </si>
  <si>
    <t>1:26.198</t>
  </si>
  <si>
    <t>Azerbaijan</t>
  </si>
  <si>
    <t>1:32:58.007</t>
  </si>
  <si>
    <t>1:47.060</t>
  </si>
  <si>
    <t>+10.910</t>
  </si>
  <si>
    <t>1:47.067</t>
  </si>
  <si>
    <t>+31.328</t>
  </si>
  <si>
    <t>1:46.628</t>
  </si>
  <si>
    <t>+36.142</t>
  </si>
  <si>
    <t>1:45.255</t>
  </si>
  <si>
    <t>+77.098</t>
  </si>
  <si>
    <t>1:46.798</t>
  </si>
  <si>
    <t>+85.468</t>
  </si>
  <si>
    <t>1:47.057</t>
  </si>
  <si>
    <t>+87.396</t>
  </si>
  <si>
    <t>1:46.947</t>
  </si>
  <si>
    <t>+89.541</t>
  </si>
  <si>
    <t>1:47.274</t>
  </si>
  <si>
    <t>+92.401</t>
  </si>
  <si>
    <t>1:47.236</t>
  </si>
  <si>
    <t>+93.127</t>
  </si>
  <si>
    <t>1:47.048</t>
  </si>
  <si>
    <t>+93.465</t>
  </si>
  <si>
    <t>1:47.691</t>
  </si>
  <si>
    <t>+117.189</t>
  </si>
  <si>
    <t>1:48.018</t>
  </si>
  <si>
    <t>+146.907</t>
  </si>
  <si>
    <t>1:48.380</t>
  </si>
  <si>
    <t>+148.841</t>
  </si>
  <si>
    <t>1:47.644</t>
  </si>
  <si>
    <t>1:48.831</t>
  </si>
  <si>
    <t>1:48.418</t>
  </si>
  <si>
    <t>1:46.866</t>
  </si>
  <si>
    <t>1:48.148</t>
  </si>
  <si>
    <t>1:50.887</t>
  </si>
  <si>
    <t>Singapore</t>
  </si>
  <si>
    <t>1:40:52.571</t>
  </si>
  <si>
    <t>1:34.925</t>
  </si>
  <si>
    <t>+20.945</t>
  </si>
  <si>
    <t>1:35.967</t>
  </si>
  <si>
    <t>+41.823</t>
  </si>
  <si>
    <t>1:35.745</t>
  </si>
  <si>
    <t>+61.040</t>
  </si>
  <si>
    <t>1:37.047</t>
  </si>
  <si>
    <t>+62.430</t>
  </si>
  <si>
    <t>1:35.371</t>
  </si>
  <si>
    <t>+85.248</t>
  </si>
  <si>
    <t>1:37.393</t>
  </si>
  <si>
    <t>+96.039</t>
  </si>
  <si>
    <t>1:36.561</t>
  </si>
  <si>
    <t>1:37.741</t>
  </si>
  <si>
    <t>1:37.470</t>
  </si>
  <si>
    <t>1:37.477</t>
  </si>
  <si>
    <t>1:37.262</t>
  </si>
  <si>
    <t>1:36.393</t>
  </si>
  <si>
    <t>1:37.964</t>
  </si>
  <si>
    <t>1:37.851</t>
  </si>
  <si>
    <t>1:37.461</t>
  </si>
  <si>
    <t>1:37.524</t>
  </si>
  <si>
    <t>1:36.927</t>
  </si>
  <si>
    <t>1:34.486</t>
  </si>
  <si>
    <t>1:37.425</t>
  </si>
  <si>
    <t>1:36.888</t>
  </si>
  <si>
    <t>United States</t>
  </si>
  <si>
    <t>1:35:09.639</t>
  </si>
  <si>
    <t>1:37.834</t>
  </si>
  <si>
    <t>+8.562</t>
  </si>
  <si>
    <t>1:37.763</t>
  </si>
  <si>
    <t>+19.412</t>
  </si>
  <si>
    <t>1:38.117</t>
  </si>
  <si>
    <t>+20.354</t>
  </si>
  <si>
    <t>1:37.679</t>
  </si>
  <si>
    <t>+21.921</t>
  </si>
  <si>
    <t>1:37.883</t>
  </si>
  <si>
    <t>+56.295</t>
  </si>
  <si>
    <t>1:37.656</t>
  </si>
  <si>
    <t>+59.072</t>
  </si>
  <si>
    <t>1:38.514</t>
  </si>
  <si>
    <t>+62.957</t>
  </si>
  <si>
    <t>1:38.404</t>
  </si>
  <si>
    <t>+70.563</t>
  </si>
  <si>
    <t>1:38.091</t>
  </si>
  <si>
    <t>+71.979</t>
  </si>
  <si>
    <t>1:37.611</t>
  </si>
  <si>
    <t>+79.782</t>
  </si>
  <si>
    <t>1:38.210</t>
  </si>
  <si>
    <t>+90.558</t>
  </si>
  <si>
    <t>1:38.311</t>
  </si>
  <si>
    <t>1:39.261</t>
  </si>
  <si>
    <t>1:39.193</t>
  </si>
  <si>
    <t>1:39.214</t>
  </si>
  <si>
    <t>1:39.084</t>
  </si>
  <si>
    <t>1:40.575</t>
  </si>
  <si>
    <t>1:37.330</t>
  </si>
  <si>
    <t>1:39.272</t>
  </si>
  <si>
    <t>Mexico</t>
  </si>
  <si>
    <t>1:40:55.800</t>
  </si>
  <si>
    <t>1:20.137</t>
  </si>
  <si>
    <t>+4.705</t>
  </si>
  <si>
    <t>1:19.691</t>
  </si>
  <si>
    <t>+34.387</t>
  </si>
  <si>
    <t>1:18.336</t>
  </si>
  <si>
    <t>+44.780</t>
  </si>
  <si>
    <t>1:20.371</t>
  </si>
  <si>
    <t>+48.536</t>
  </si>
  <si>
    <t>1:20.731</t>
  </si>
  <si>
    <t>+59.558</t>
  </si>
  <si>
    <t>1:20.872</t>
  </si>
  <si>
    <t>+63.642</t>
  </si>
  <si>
    <t>1:20.637</t>
  </si>
  <si>
    <t>+64.928</t>
  </si>
  <si>
    <t>1:20.064</t>
  </si>
  <si>
    <t>1:20.748</t>
  </si>
  <si>
    <t>1:21.311</t>
  </si>
  <si>
    <t>1:20.090</t>
  </si>
  <si>
    <t>1:20.659</t>
  </si>
  <si>
    <t>1:21.085</t>
  </si>
  <si>
    <t>1:21.553</t>
  </si>
  <si>
    <t>1:19.502</t>
  </si>
  <si>
    <t>1:19.209</t>
  </si>
  <si>
    <t>1:22.722</t>
  </si>
  <si>
    <t>2:06:54.430</t>
  </si>
  <si>
    <t>1:20.472</t>
  </si>
  <si>
    <t>+19.477</t>
  </si>
  <si>
    <t>1:21.771</t>
  </si>
  <si>
    <t>+22.532</t>
  </si>
  <si>
    <t>1:21.645</t>
  </si>
  <si>
    <t>+23.265</t>
  </si>
  <si>
    <t>+30.177</t>
  </si>
  <si>
    <t>1:21.631</t>
  </si>
  <si>
    <t>+31.372</t>
  </si>
  <si>
    <t>1:21.517</t>
  </si>
  <si>
    <t>+42.056</t>
  </si>
  <si>
    <t>1:21.828</t>
  </si>
  <si>
    <t>+44.943</t>
  </si>
  <si>
    <t>1:21.532</t>
  </si>
  <si>
    <t>+50.452</t>
  </si>
  <si>
    <t>1:22.123</t>
  </si>
  <si>
    <t>+50.753</t>
  </si>
  <si>
    <t>1:22.041</t>
  </si>
  <si>
    <t>+51.531</t>
  </si>
  <si>
    <t>1:22.143</t>
  </si>
  <si>
    <t>+57.085</t>
  </si>
  <si>
    <t>1:22.494</t>
  </si>
  <si>
    <t>+63.588</t>
  </si>
  <si>
    <t>1:22.877</t>
  </si>
  <si>
    <t>+78.049</t>
  </si>
  <si>
    <t>1:22.293</t>
  </si>
  <si>
    <t>+79.649</t>
  </si>
  <si>
    <t>1:23.058</t>
  </si>
  <si>
    <t>1:24.201</t>
  </si>
  <si>
    <t>1:24.296</t>
  </si>
  <si>
    <t>1:23.764</t>
  </si>
  <si>
    <t>Las Vegas</t>
  </si>
  <si>
    <t>1:22:05.969</t>
  </si>
  <si>
    <t>1:35.717</t>
  </si>
  <si>
    <t>+7.313</t>
  </si>
  <si>
    <t>1:35.480</t>
  </si>
  <si>
    <t>+11.906</t>
  </si>
  <si>
    <t>1:35.875</t>
  </si>
  <si>
    <t>+14.283</t>
  </si>
  <si>
    <t>1:35.674</t>
  </si>
  <si>
    <t>+16.582</t>
  </si>
  <si>
    <t>1:36.248</t>
  </si>
  <si>
    <t>+43.385</t>
  </si>
  <si>
    <t>1:34.876</t>
  </si>
  <si>
    <t>+51.365</t>
  </si>
  <si>
    <t>1:36.598</t>
  </si>
  <si>
    <t>+59.808</t>
  </si>
  <si>
    <t>1:36.585</t>
  </si>
  <si>
    <t>+62.808</t>
  </si>
  <si>
    <t>1:36.957</t>
  </si>
  <si>
    <t>+63.114</t>
  </si>
  <si>
    <t>1:36.326</t>
  </si>
  <si>
    <t>+69.195</t>
  </si>
  <si>
    <t>1:36.553</t>
  </si>
  <si>
    <t>+69.803</t>
  </si>
  <si>
    <t>1:36.557</t>
  </si>
  <si>
    <t>+74.085</t>
  </si>
  <si>
    <t>1:36.324</t>
  </si>
  <si>
    <t>+75.172</t>
  </si>
  <si>
    <t>1:36.867</t>
  </si>
  <si>
    <t>+84.102</t>
  </si>
  <si>
    <t>1:37.179</t>
  </si>
  <si>
    <t>+91.005</t>
  </si>
  <si>
    <t>1:36.980</t>
  </si>
  <si>
    <t>1:36.511</t>
  </si>
  <si>
    <t>1:36.601</t>
  </si>
  <si>
    <t>1:38.008</t>
  </si>
  <si>
    <t>1:38.314</t>
  </si>
  <si>
    <t>Qatar</t>
  </si>
  <si>
    <t>1:31:05.323</t>
  </si>
  <si>
    <t>1:22.905</t>
  </si>
  <si>
    <t>+6.031</t>
  </si>
  <si>
    <t>+6.819</t>
  </si>
  <si>
    <t>1:23.218</t>
  </si>
  <si>
    <t>+14.104</t>
  </si>
  <si>
    <t>1:23.355</t>
  </si>
  <si>
    <t>+16.782</t>
  </si>
  <si>
    <t>1:23.705</t>
  </si>
  <si>
    <t>+17.476</t>
  </si>
  <si>
    <t>1:23.465</t>
  </si>
  <si>
    <t>+19.867</t>
  </si>
  <si>
    <t>1:23.667</t>
  </si>
  <si>
    <t>+25.360</t>
  </si>
  <si>
    <t>1:23.889</t>
  </si>
  <si>
    <t>+32.177</t>
  </si>
  <si>
    <t>1:24.259</t>
  </si>
  <si>
    <t>+35.762</t>
  </si>
  <si>
    <t>1:22.384</t>
  </si>
  <si>
    <t>+50.243</t>
  </si>
  <si>
    <t>1:25.533</t>
  </si>
  <si>
    <t>+56.122</t>
  </si>
  <si>
    <t>1:23.865</t>
  </si>
  <si>
    <t>+61.100</t>
  </si>
  <si>
    <t>1:26.144</t>
  </si>
  <si>
    <t>+62.656</t>
  </si>
  <si>
    <t>1:26.076</t>
  </si>
  <si>
    <t>1:25.559</t>
  </si>
  <si>
    <t>1:25.767</t>
  </si>
  <si>
    <t>1:25.288</t>
  </si>
  <si>
    <t>1:30.935</t>
  </si>
  <si>
    <t>Abu Dhabi</t>
  </si>
  <si>
    <t>1:26:33.291</t>
  </si>
  <si>
    <t>1:27.438</t>
  </si>
  <si>
    <t>+5.832</t>
  </si>
  <si>
    <t>1:27.765</t>
  </si>
  <si>
    <t>+31.928</t>
  </si>
  <si>
    <t>1:28.018</t>
  </si>
  <si>
    <t>+36.483</t>
  </si>
  <si>
    <t>1:27.278</t>
  </si>
  <si>
    <t>+37.538</t>
  </si>
  <si>
    <t>1:28.195</t>
  </si>
  <si>
    <t>+49.847</t>
  </si>
  <si>
    <t>+72.560</t>
  </si>
  <si>
    <t>1:29.251</t>
  </si>
  <si>
    <t>+75.554</t>
  </si>
  <si>
    <t>1:29.152</t>
  </si>
  <si>
    <t>+82.373</t>
  </si>
  <si>
    <t>1:27.948</t>
  </si>
  <si>
    <t>+83.821</t>
  </si>
  <si>
    <t>1:27.690</t>
  </si>
  <si>
    <t>1:29.200</t>
  </si>
  <si>
    <t>1:27.982</t>
  </si>
  <si>
    <t>1:28.604</t>
  </si>
  <si>
    <t>1:29.121</t>
  </si>
  <si>
    <t>1:25.637</t>
  </si>
  <si>
    <t>1:28.751</t>
  </si>
  <si>
    <t>1:29.482</t>
  </si>
  <si>
    <t>1:29.411</t>
  </si>
  <si>
    <t>1:30.031</t>
  </si>
  <si>
    <t>1:29.374</t>
  </si>
  <si>
    <t>1:29.179</t>
  </si>
  <si>
    <t>1:30.243</t>
  </si>
  <si>
    <t>1:29.165</t>
  </si>
  <si>
    <t>1:29.407</t>
  </si>
  <si>
    <t>1:30.350</t>
  </si>
  <si>
    <t>1:29.922</t>
  </si>
  <si>
    <t>1:29.485</t>
  </si>
  <si>
    <t>1:29.909</t>
  </si>
  <si>
    <t>1:29.573</t>
  </si>
  <si>
    <t>1:29.507</t>
  </si>
  <si>
    <t>1:30.221</t>
  </si>
  <si>
    <t>1:29.932</t>
  </si>
  <si>
    <t>1:29.537</t>
  </si>
  <si>
    <t>1:30.179</t>
  </si>
  <si>
    <t>1:29.801</t>
  </si>
  <si>
    <t>1:29.542</t>
  </si>
  <si>
    <t>1:30.143</t>
  </si>
  <si>
    <t>1:29.941</t>
  </si>
  <si>
    <t>1:29.614</t>
  </si>
  <si>
    <t>1:30.531</t>
  </si>
  <si>
    <t>1:30.122</t>
  </si>
  <si>
    <t>1:29.683</t>
  </si>
  <si>
    <t>1:30.451</t>
  </si>
  <si>
    <t>1:30.566</t>
  </si>
  <si>
    <t>1:29.851</t>
  </si>
  <si>
    <t>1:30.502</t>
  </si>
  <si>
    <t>1:30.481</t>
  </si>
  <si>
    <t>1:30.129</t>
  </si>
  <si>
    <t>1:29.965</t>
  </si>
  <si>
    <t>1:30.200</t>
  </si>
  <si>
    <t>1:30.397</t>
  </si>
  <si>
    <t>1:30.278</t>
  </si>
  <si>
    <t>1:30.646</t>
  </si>
  <si>
    <t>1:30.529</t>
  </si>
  <si>
    <t>1:30.756</t>
  </si>
  <si>
    <t>1:30.757</t>
  </si>
  <si>
    <t>1:30.770</t>
  </si>
  <si>
    <t>1:30.948</t>
  </si>
  <si>
    <t>1:28.171</t>
  </si>
  <si>
    <t>1:28.033</t>
  </si>
  <si>
    <t>1:27.472</t>
  </si>
  <si>
    <t>1:28.318</t>
  </si>
  <si>
    <t>1:28.112</t>
  </si>
  <si>
    <t>1:27.791</t>
  </si>
  <si>
    <t>1:28.638</t>
  </si>
  <si>
    <t>1:28.467</t>
  </si>
  <si>
    <t>1:27.807</t>
  </si>
  <si>
    <t>1:28.706</t>
  </si>
  <si>
    <t>1:28.122</t>
  </si>
  <si>
    <t>1:27.846</t>
  </si>
  <si>
    <t>1:28.755</t>
  </si>
  <si>
    <t>1:28.343</t>
  </si>
  <si>
    <t>1:28.089</t>
  </si>
  <si>
    <t>1:28.805</t>
  </si>
  <si>
    <t>1:28.479</t>
  </si>
  <si>
    <t>1:28.132</t>
  </si>
  <si>
    <t>1:28.749</t>
  </si>
  <si>
    <t>1:28.448</t>
  </si>
  <si>
    <t>1:28.316</t>
  </si>
  <si>
    <t>1:28.994</t>
  </si>
  <si>
    <t>1:28.606</t>
  </si>
  <si>
    <t>1:28.460</t>
  </si>
  <si>
    <t>1:28.988</t>
  </si>
  <si>
    <t>1:28.564</t>
  </si>
  <si>
    <t>1:28.547</t>
  </si>
  <si>
    <t>1:28.250</t>
  </si>
  <si>
    <t>1:28.578</t>
  </si>
  <si>
    <t>1:28.572</t>
  </si>
  <si>
    <t>1:28.984</t>
  </si>
  <si>
    <t>1:28.642</t>
  </si>
  <si>
    <t>1:29.107</t>
  </si>
  <si>
    <t>1:28.980</t>
  </si>
  <si>
    <t>1:28.069</t>
  </si>
  <si>
    <t>1:29.020</t>
  </si>
  <si>
    <t>1:29.065</t>
  </si>
  <si>
    <t>1:29.025</t>
  </si>
  <si>
    <t>1:29.055</t>
  </si>
  <si>
    <t>1:29.475</t>
  </si>
  <si>
    <t>1:29.479</t>
  </si>
  <si>
    <t>1:29.526</t>
  </si>
  <si>
    <t>1:16.819</t>
  </si>
  <si>
    <t>1:16.387</t>
  </si>
  <si>
    <t>1:15.915</t>
  </si>
  <si>
    <t>1:16.731</t>
  </si>
  <si>
    <t>1:16.189</t>
  </si>
  <si>
    <t>1:16.185</t>
  </si>
  <si>
    <t>1:16.805</t>
  </si>
  <si>
    <t>1:16.631</t>
  </si>
  <si>
    <t>1:16.274</t>
  </si>
  <si>
    <t>1:17.430</t>
  </si>
  <si>
    <t>1:16.750</t>
  </si>
  <si>
    <t>1:16.984</t>
  </si>
  <si>
    <t>1:16.304</t>
  </si>
  <si>
    <t>1:16.435</t>
  </si>
  <si>
    <t>1:17.369</t>
  </si>
  <si>
    <t>1:16.601</t>
  </si>
  <si>
    <t>1:16.572</t>
  </si>
  <si>
    <t>1:17.062</t>
  </si>
  <si>
    <t>1:16.901</t>
  </si>
  <si>
    <t>1:16.724</t>
  </si>
  <si>
    <t>1:17.356</t>
  </si>
  <si>
    <t>1:16.791</t>
  </si>
  <si>
    <t>1:16.788</t>
  </si>
  <si>
    <t>1:17.376</t>
  </si>
  <si>
    <t>1:16.780</t>
  </si>
  <si>
    <t>1:17.072</t>
  </si>
  <si>
    <t>1:16.991</t>
  </si>
  <si>
    <t>1:17.552</t>
  </si>
  <si>
    <t>1:17.499</t>
  </si>
  <si>
    <t>1:16.960</t>
  </si>
  <si>
    <t>1:17.130</t>
  </si>
  <si>
    <t>1:17.167</t>
  </si>
  <si>
    <t>1:17.543</t>
  </si>
  <si>
    <t>1:17.340</t>
  </si>
  <si>
    <t>1:17.709</t>
  </si>
  <si>
    <t>1:17.427</t>
  </si>
  <si>
    <t>1:17.617</t>
  </si>
  <si>
    <t>1:17.697</t>
  </si>
  <si>
    <t>1:17.976</t>
  </si>
  <si>
    <t>1:17.982</t>
  </si>
  <si>
    <t>1:18.085</t>
  </si>
  <si>
    <t>1:18.188</t>
  </si>
  <si>
    <t>1:28.866</t>
  </si>
  <si>
    <t>1:28.740</t>
  </si>
  <si>
    <t>1:28.197</t>
  </si>
  <si>
    <t>1:29.303</t>
  </si>
  <si>
    <t>1:28.752</t>
  </si>
  <si>
    <t>1:28.263</t>
  </si>
  <si>
    <t>1:29.536</t>
  </si>
  <si>
    <t>1:28.940</t>
  </si>
  <si>
    <t>1:28.489</t>
  </si>
  <si>
    <t>1:29.513</t>
  </si>
  <si>
    <t>1:29.099</t>
  </si>
  <si>
    <t>1:28.682</t>
  </si>
  <si>
    <t>1:29.254</t>
  </si>
  <si>
    <t>1:29.082</t>
  </si>
  <si>
    <t>1:28.686</t>
  </si>
  <si>
    <t>1:29.425</t>
  </si>
  <si>
    <t>1:29.148</t>
  </si>
  <si>
    <t>1:28.760</t>
  </si>
  <si>
    <t>1:29.661</t>
  </si>
  <si>
    <t>1:28.887</t>
  </si>
  <si>
    <t>1:28.766</t>
  </si>
  <si>
    <t>1:29.338</t>
  </si>
  <si>
    <t>1:29.196</t>
  </si>
  <si>
    <t>1:28.786</t>
  </si>
  <si>
    <t>1:29.799</t>
  </si>
  <si>
    <t>1:28.140</t>
  </si>
  <si>
    <t>1:29.008</t>
  </si>
  <si>
    <t>1:29.775</t>
  </si>
  <si>
    <t>1:29.417</t>
  </si>
  <si>
    <t>1:29.413</t>
  </si>
  <si>
    <t>1:29.727</t>
  </si>
  <si>
    <t>1:29.472</t>
  </si>
  <si>
    <t>1:29.821</t>
  </si>
  <si>
    <t>1:29.494</t>
  </si>
  <si>
    <t>1:29.602</t>
  </si>
  <si>
    <t>1:29.593</t>
  </si>
  <si>
    <t>1:29.963</t>
  </si>
  <si>
    <t>1:29.714</t>
  </si>
  <si>
    <t>1:29.811</t>
  </si>
  <si>
    <t>1:29.816</t>
  </si>
  <si>
    <t>1:30.024</t>
  </si>
  <si>
    <t>1:30.119</t>
  </si>
  <si>
    <t>1:30.131</t>
  </si>
  <si>
    <t>1:30.139</t>
  </si>
  <si>
    <t>1:34.742</t>
  </si>
  <si>
    <t>1:33.794</t>
  </si>
  <si>
    <t>1:33.660</t>
  </si>
  <si>
    <t>1:35.457</t>
  </si>
  <si>
    <t>1:34.026</t>
  </si>
  <si>
    <t>1:33.982</t>
  </si>
  <si>
    <t>1:35.116</t>
  </si>
  <si>
    <t>1:34.652</t>
  </si>
  <si>
    <t>1:34.148</t>
  </si>
  <si>
    <t>1:34.842</t>
  </si>
  <si>
    <t>1:34.460</t>
  </si>
  <si>
    <t>1:34.165</t>
  </si>
  <si>
    <t>1:35.014</t>
  </si>
  <si>
    <t>1:34.659</t>
  </si>
  <si>
    <t>1:34.273</t>
  </si>
  <si>
    <t>1:34.797</t>
  </si>
  <si>
    <t>1:34.399</t>
  </si>
  <si>
    <t>1:34.289</t>
  </si>
  <si>
    <t>1:34.970</t>
  </si>
  <si>
    <t>1:34.368</t>
  </si>
  <si>
    <t>1:34.297</t>
  </si>
  <si>
    <t>1:35.084</t>
  </si>
  <si>
    <t>1:34.609</t>
  </si>
  <si>
    <t>1:34.433</t>
  </si>
  <si>
    <t>1:35.068</t>
  </si>
  <si>
    <t>1:34.667</t>
  </si>
  <si>
    <t>1:34.604</t>
  </si>
  <si>
    <t>1:35.169</t>
  </si>
  <si>
    <t>1:34.769</t>
  </si>
  <si>
    <t>1:34.665</t>
  </si>
  <si>
    <t>1:35.334</t>
  </si>
  <si>
    <t>1:34.838</t>
  </si>
  <si>
    <t>1:35.443</t>
  </si>
  <si>
    <t>1:34.934</t>
  </si>
  <si>
    <t>1:35.356</t>
  </si>
  <si>
    <t>1:35.223</t>
  </si>
  <si>
    <t>1:35.384</t>
  </si>
  <si>
    <t>1:35.241</t>
  </si>
  <si>
    <t>1:35.287</t>
  </si>
  <si>
    <t>1:35.463</t>
  </si>
  <si>
    <t>1:35.505</t>
  </si>
  <si>
    <t>1:35.516</t>
  </si>
  <si>
    <t>1:35.573</t>
  </si>
  <si>
    <t>1:35.746</t>
  </si>
  <si>
    <t>1:36.358</t>
  </si>
  <si>
    <t>1:27.689</t>
  </si>
  <si>
    <t>1:27.566</t>
  </si>
  <si>
    <t>1:27.241</t>
  </si>
  <si>
    <t>1:28.081</t>
  </si>
  <si>
    <t>1:27.533</t>
  </si>
  <si>
    <t>1:27.382</t>
  </si>
  <si>
    <t>1:27.937</t>
  </si>
  <si>
    <t>1:27.941</t>
  </si>
  <si>
    <t>1:27.455</t>
  </si>
  <si>
    <t>1:27.772</t>
  </si>
  <si>
    <t>1:27.839</t>
  </si>
  <si>
    <t>1:27.460</t>
  </si>
  <si>
    <t>1:27.913</t>
  </si>
  <si>
    <t>1:27.871</t>
  </si>
  <si>
    <t>1:27.594</t>
  </si>
  <si>
    <t>1:28.032</t>
  </si>
  <si>
    <t>1:27.721</t>
  </si>
  <si>
    <t>1:27.675</t>
  </si>
  <si>
    <t>1:28.159</t>
  </si>
  <si>
    <t>1:28.095</t>
  </si>
  <si>
    <t>1:28.067</t>
  </si>
  <si>
    <t>1:28.167</t>
  </si>
  <si>
    <t>1:27.697</t>
  </si>
  <si>
    <t>1:28.107</t>
  </si>
  <si>
    <t>1:28.383</t>
  </si>
  <si>
    <t>1:28.200</t>
  </si>
  <si>
    <t>1:28.146</t>
  </si>
  <si>
    <t>1:28.324</t>
  </si>
  <si>
    <t>1:28.192</t>
  </si>
  <si>
    <t>1:28.177</t>
  </si>
  <si>
    <t>1:28.222</t>
  </si>
  <si>
    <t>1:27.976</t>
  </si>
  <si>
    <t>1:28.371</t>
  </si>
  <si>
    <t>1:28.413</t>
  </si>
  <si>
    <t>1:28.453</t>
  </si>
  <si>
    <t>1:28.427</t>
  </si>
  <si>
    <t>1:28.463</t>
  </si>
  <si>
    <t>1:28.487</t>
  </si>
  <si>
    <t>1:28.617</t>
  </si>
  <si>
    <t>1:28.619</t>
  </si>
  <si>
    <t>1:28.824</t>
  </si>
  <si>
    <t>1:15.762</t>
  </si>
  <si>
    <t>1:15.176</t>
  </si>
  <si>
    <t>1:14.746</t>
  </si>
  <si>
    <t>1:15.940</t>
  </si>
  <si>
    <t>1:15.407</t>
  </si>
  <si>
    <t>1:14.820</t>
  </si>
  <si>
    <t>1:15.371</t>
  </si>
  <si>
    <t>1:14.837</t>
  </si>
  <si>
    <t>1:15.823</t>
  </si>
  <si>
    <t>1:15.328</t>
  </si>
  <si>
    <t>1:14.970</t>
  </si>
  <si>
    <t>1:16.015</t>
  </si>
  <si>
    <t>1:15.512</t>
  </si>
  <si>
    <t>1:15.233</t>
  </si>
  <si>
    <t>1:16.107</t>
  </si>
  <si>
    <t>1:15.671</t>
  </si>
  <si>
    <t>1:15.234</t>
  </si>
  <si>
    <t>1:15.358</t>
  </si>
  <si>
    <t>1:15.465</t>
  </si>
  <si>
    <t>1:16.604</t>
  </si>
  <si>
    <t>1:15.677</t>
  </si>
  <si>
    <t>1:15.504</t>
  </si>
  <si>
    <t>1:16.060</t>
  </si>
  <si>
    <t>1:15.691</t>
  </si>
  <si>
    <t>1:15.674</t>
  </si>
  <si>
    <t>1:15.841</t>
  </si>
  <si>
    <t>1:16.404</t>
  </si>
  <si>
    <t>1:15.706</t>
  </si>
  <si>
    <t>1:16.361</t>
  </si>
  <si>
    <t>1:15.906</t>
  </si>
  <si>
    <t>1:16.458</t>
  </si>
  <si>
    <t>1:15.992</t>
  </si>
  <si>
    <t>1:16.524</t>
  </si>
  <si>
    <t>1:16.200</t>
  </si>
  <si>
    <t>1:16.381</t>
  </si>
  <si>
    <t>1:16.626</t>
  </si>
  <si>
    <t>1:16.834</t>
  </si>
  <si>
    <t>1:16.854</t>
  </si>
  <si>
    <t>1:16.917</t>
  </si>
  <si>
    <t>1:11.584</t>
  </si>
  <si>
    <t>1:10.825</t>
  </si>
  <si>
    <t>1:10.270</t>
  </si>
  <si>
    <t>1:11.500</t>
  </si>
  <si>
    <t>1:10.756</t>
  </si>
  <si>
    <t>1:10.424</t>
  </si>
  <si>
    <t>1:11.543</t>
  </si>
  <si>
    <t>1:11.075</t>
  </si>
  <si>
    <t>1:10.518</t>
  </si>
  <si>
    <t>1:11.760</t>
  </si>
  <si>
    <t>1:10.542</t>
  </si>
  <si>
    <t>1:11.492</t>
  </si>
  <si>
    <t>1:10.929</t>
  </si>
  <si>
    <t>1:10.543</t>
  </si>
  <si>
    <t>1:11.711</t>
  </si>
  <si>
    <t>1:10.745</t>
  </si>
  <si>
    <t>1:10.567</t>
  </si>
  <si>
    <t>1:11.528</t>
  </si>
  <si>
    <t>1:11.056</t>
  </si>
  <si>
    <t>1:10.621</t>
  </si>
  <si>
    <t>1:11.852</t>
  </si>
  <si>
    <t>1:11.106</t>
  </si>
  <si>
    <t>1:11.623</t>
  </si>
  <si>
    <t>1:11.216</t>
  </si>
  <si>
    <t>1:10.948</t>
  </si>
  <si>
    <t>1:11.714</t>
  </si>
  <si>
    <t>1:10.896</t>
  </si>
  <si>
    <t>1:11.311</t>
  </si>
  <si>
    <t>1:11.887</t>
  </si>
  <si>
    <t>1:11.876</t>
  </si>
  <si>
    <t>1:11.440</t>
  </si>
  <si>
    <t>1:11:785</t>
  </si>
  <si>
    <t>1:11.482</t>
  </si>
  <si>
    <t>1:11.728</t>
  </si>
  <si>
    <t>1:11.563</t>
  </si>
  <si>
    <t>1:11.832</t>
  </si>
  <si>
    <t>1:11.725</t>
  </si>
  <si>
    <t>1:12.019</t>
  </si>
  <si>
    <t>1:12.020</t>
  </si>
  <si>
    <t>1:12.060</t>
  </si>
  <si>
    <t>1:12.512</t>
  </si>
  <si>
    <t>1:13.028</t>
  </si>
  <si>
    <t>1:13.013</t>
  </si>
  <si>
    <t>1:11.742</t>
  </si>
  <si>
    <t>1:12.000</t>
  </si>
  <si>
    <t>1:12.360</t>
  </si>
  <si>
    <t>1:12.549</t>
  </si>
  <si>
    <t>1:12.959</t>
  </si>
  <si>
    <t>1:12.201</t>
  </si>
  <si>
    <t>1:12.021</t>
  </si>
  <si>
    <t>1:12.907</t>
  </si>
  <si>
    <t>1:12.462</t>
  </si>
  <si>
    <t>1:12.103</t>
  </si>
  <si>
    <t>1:13.240</t>
  </si>
  <si>
    <t>1:12.572</t>
  </si>
  <si>
    <t>1:12.178</t>
  </si>
  <si>
    <t>1:13.117</t>
  </si>
  <si>
    <t>1:12.635</t>
  </si>
  <si>
    <t>1:12.228</t>
  </si>
  <si>
    <t>1:12.851</t>
  </si>
  <si>
    <t>1:12.280</t>
  </si>
  <si>
    <t>1:12.748</t>
  </si>
  <si>
    <t>1:12.303</t>
  </si>
  <si>
    <t>1:12.414</t>
  </si>
  <si>
    <t>1:13.088</t>
  </si>
  <si>
    <t>1:12.659</t>
  </si>
  <si>
    <t>1:12.701</t>
  </si>
  <si>
    <t>1:12.896</t>
  </si>
  <si>
    <t>1:12.485</t>
  </si>
  <si>
    <t>1:12.796</t>
  </si>
  <si>
    <t>1:13.107</t>
  </si>
  <si>
    <t>1:12.691</t>
  </si>
  <si>
    <t>1:12.728</t>
  </si>
  <si>
    <t>1:13.063</t>
  </si>
  <si>
    <t>1:12.736</t>
  </si>
  <si>
    <t>1:13.217</t>
  </si>
  <si>
    <t>1:12.916</t>
  </si>
  <si>
    <t>1:13.289</t>
  </si>
  <si>
    <t>1:12.940</t>
  </si>
  <si>
    <t>1:13.326</t>
  </si>
  <si>
    <t>1:13.366</t>
  </si>
  <si>
    <t>1:13.435</t>
  </si>
  <si>
    <t>1:13.978</t>
  </si>
  <si>
    <t>1:14.292</t>
  </si>
  <si>
    <t>1:12.386</t>
  </si>
  <si>
    <t>1:11.872</t>
  </si>
  <si>
    <t>1:11.383</t>
  </si>
  <si>
    <t>1:12.306</t>
  </si>
  <si>
    <t>1:11.653</t>
  </si>
  <si>
    <t>1:11.403</t>
  </si>
  <si>
    <t>1:12.143</t>
  </si>
  <si>
    <t>1:11.792</t>
  </si>
  <si>
    <t>1:11.701</t>
  </si>
  <si>
    <t>1:12.456</t>
  </si>
  <si>
    <t>1:11.812</t>
  </si>
  <si>
    <t>1:11.703</t>
  </si>
  <si>
    <t>1:12.257</t>
  </si>
  <si>
    <t>1:12.038</t>
  </si>
  <si>
    <t>1:11.731</t>
  </si>
  <si>
    <t>1:12.403</t>
  </si>
  <si>
    <t>1:11.874</t>
  </si>
  <si>
    <t>1:11.736</t>
  </si>
  <si>
    <t>1:12.651</t>
  </si>
  <si>
    <t>1:12.079</t>
  </si>
  <si>
    <t>1:11.857</t>
  </si>
  <si>
    <t>1:12.477</t>
  </si>
  <si>
    <t>1:12.054</t>
  </si>
  <si>
    <t>1:12.061</t>
  </si>
  <si>
    <t>1:12.109</t>
  </si>
  <si>
    <t>1:12.125</t>
  </si>
  <si>
    <t>1:12.460</t>
  </si>
  <si>
    <t>1:12.011</t>
  </si>
  <si>
    <t>1:12.505</t>
  </si>
  <si>
    <t>1:12.128</t>
  </si>
  <si>
    <t>1:12.758</t>
  </si>
  <si>
    <t>1:12.227</t>
  </si>
  <si>
    <t>1:12.708</t>
  </si>
  <si>
    <t>1:12.310</t>
  </si>
  <si>
    <t>1:12.881</t>
  </si>
  <si>
    <t>1:12.372</t>
  </si>
  <si>
    <t>1:12.880</t>
  </si>
  <si>
    <t>1:12.738</t>
  </si>
  <si>
    <t>1:12.937</t>
  </si>
  <si>
    <t>1:12.985</t>
  </si>
  <si>
    <t>1:13.075</t>
  </si>
  <si>
    <t>1:13.153</t>
  </si>
  <si>
    <t>1:13.509</t>
  </si>
  <si>
    <t>1:05.336</t>
  </si>
  <si>
    <t>1:04.469</t>
  </si>
  <si>
    <t>1:04.314</t>
  </si>
  <si>
    <t>1:05.450</t>
  </si>
  <si>
    <t>1:05.103</t>
  </si>
  <si>
    <t>1:04.718</t>
  </si>
  <si>
    <t>1:05.585</t>
  </si>
  <si>
    <t>1:05.016</t>
  </si>
  <si>
    <t>1:04.840</t>
  </si>
  <si>
    <t>1:05.263</t>
  </si>
  <si>
    <t>1:04.851</t>
  </si>
  <si>
    <t>1:05.541</t>
  </si>
  <si>
    <t>1:05.053</t>
  </si>
  <si>
    <t>1:04.903</t>
  </si>
  <si>
    <t>1:05.509</t>
  </si>
  <si>
    <t>1:05.104</t>
  </si>
  <si>
    <t>1:05.044</t>
  </si>
  <si>
    <t>1:05.311</t>
  </si>
  <si>
    <t>1:05.070</t>
  </si>
  <si>
    <t>1:05.048</t>
  </si>
  <si>
    <t>1:05.587</t>
  </si>
  <si>
    <t>1:05.144</t>
  </si>
  <si>
    <t>1:05.202</t>
  </si>
  <si>
    <t>1:05.596</t>
  </si>
  <si>
    <t>1:05.262</t>
  </si>
  <si>
    <t>1:05.385</t>
  </si>
  <si>
    <t>1:05.574</t>
  </si>
  <si>
    <t>1:05.274</t>
  </si>
  <si>
    <t>1:05.883</t>
  </si>
  <si>
    <t>1:05.569</t>
  </si>
  <si>
    <t>1:05.289</t>
  </si>
  <si>
    <t>1:05.508</t>
  </si>
  <si>
    <t>1:05.347</t>
  </si>
  <si>
    <t>1:05.598</t>
  </si>
  <si>
    <t>1:05.359</t>
  </si>
  <si>
    <t>1:05.563</t>
  </si>
  <si>
    <t>1:05.412</t>
  </si>
  <si>
    <t>1:05.656</t>
  </si>
  <si>
    <t>1:05.639</t>
  </si>
  <si>
    <t>1:05.736</t>
  </si>
  <si>
    <t>1:05.819</t>
  </si>
  <si>
    <t>1:05.847</t>
  </si>
  <si>
    <t>1:05.856</t>
  </si>
  <si>
    <t>1:06.061</t>
  </si>
  <si>
    <t>1:30.106</t>
  </si>
  <si>
    <t>1:26.723</t>
  </si>
  <si>
    <t>1:25.819</t>
  </si>
  <si>
    <t>1:29.547</t>
  </si>
  <si>
    <t>1:26.770</t>
  </si>
  <si>
    <t>1:25.990</t>
  </si>
  <si>
    <t>1:31.596</t>
  </si>
  <si>
    <t>1:26.559</t>
  </si>
  <si>
    <t>1:26.030</t>
  </si>
  <si>
    <t>1:31.342</t>
  </si>
  <si>
    <t>1:26.796</t>
  </si>
  <si>
    <t>1:26.203</t>
  </si>
  <si>
    <t>1:30.895</t>
  </si>
  <si>
    <t>1:26.733</t>
  </si>
  <si>
    <t>1:26.237</t>
  </si>
  <si>
    <t>1:31.929</t>
  </si>
  <si>
    <t>1:26.338</t>
  </si>
  <si>
    <t>1:30.557</t>
  </si>
  <si>
    <t>1:26.843</t>
  </si>
  <si>
    <t>1:26.509</t>
  </si>
  <si>
    <t>1:31.410</t>
  </si>
  <si>
    <t>1:26.938</t>
  </si>
  <si>
    <t>1:26.585</t>
  </si>
  <si>
    <t>1:31.135</t>
  </si>
  <si>
    <t>1:26.933</t>
  </si>
  <si>
    <t>1:26.640</t>
  </si>
  <si>
    <t>1:31.264</t>
  </si>
  <si>
    <t>1:26.730</t>
  </si>
  <si>
    <t>1:26.917</t>
  </si>
  <si>
    <t>1:30.496</t>
  </si>
  <si>
    <t>1:27.097</t>
  </si>
  <si>
    <t>1:31.608</t>
  </si>
  <si>
    <t>1:27.175</t>
  </si>
  <si>
    <t>1:30.994</t>
  </si>
  <si>
    <t>1:27.269</t>
  </si>
  <si>
    <t>1:31.190</t>
  </si>
  <si>
    <t>1:31.291</t>
  </si>
  <si>
    <t>1:27.949</t>
  </si>
  <si>
    <t>1:32.431</t>
  </si>
  <si>
    <t>1:32.905</t>
  </si>
  <si>
    <t>1:34.557</t>
  </si>
  <si>
    <t>1:38.348</t>
  </si>
  <si>
    <t>1:39.804</t>
  </si>
  <si>
    <t>1:17.755</t>
  </si>
  <si>
    <t>1:15.540</t>
  </si>
  <si>
    <t>1:15.227</t>
  </si>
  <si>
    <t>1:17.504</t>
  </si>
  <si>
    <t>1:15.785</t>
  </si>
  <si>
    <t>1:15.249</t>
  </si>
  <si>
    <t>1:17.087</t>
  </si>
  <si>
    <t>1:15.770</t>
  </si>
  <si>
    <t>1:15.273</t>
  </si>
  <si>
    <t>1:15.885</t>
  </si>
  <si>
    <t>1:15.696</t>
  </si>
  <si>
    <t>1:16.307</t>
  </si>
  <si>
    <t>1:15.854</t>
  </si>
  <si>
    <t>1:17.437</t>
  </si>
  <si>
    <t>1:15.891</t>
  </si>
  <si>
    <t>1:15.905</t>
  </si>
  <si>
    <t>1:17.624</t>
  </si>
  <si>
    <t>1:16.117</t>
  </si>
  <si>
    <t>1:16.043</t>
  </si>
  <si>
    <t>1:17.405</t>
  </si>
  <si>
    <t>1:16.075</t>
  </si>
  <si>
    <t>1:16.244</t>
  </si>
  <si>
    <t>1:17.050</t>
  </si>
  <si>
    <t>1:16.202</t>
  </si>
  <si>
    <t>1:16.447</t>
  </si>
  <si>
    <t>1:17.436</t>
  </si>
  <si>
    <t>1:16.121</t>
  </si>
  <si>
    <t>1:16.477</t>
  </si>
  <si>
    <t>1:17.362</t>
  </si>
  <si>
    <t>1:16.317</t>
  </si>
  <si>
    <t>1:17.487</t>
  </si>
  <si>
    <t>1:16.384</t>
  </si>
  <si>
    <t>1:17.280</t>
  </si>
  <si>
    <t>1:16.429</t>
  </si>
  <si>
    <t>1:16.543</t>
  </si>
  <si>
    <t>1:17.851</t>
  </si>
  <si>
    <t>1:16.548</t>
  </si>
  <si>
    <t>1:17.886</t>
  </si>
  <si>
    <t>1:17.968</t>
  </si>
  <si>
    <t>1:18.037</t>
  </si>
  <si>
    <t>1:18.049</t>
  </si>
  <si>
    <t>1:18.166</t>
  </si>
  <si>
    <t>1:54.938</t>
  </si>
  <si>
    <t>1:53.837</t>
  </si>
  <si>
    <t>1:53.159</t>
  </si>
  <si>
    <t>1:55.349</t>
  </si>
  <si>
    <t>1:54.193</t>
  </si>
  <si>
    <t>1:53.754</t>
  </si>
  <si>
    <t>1:55.139</t>
  </si>
  <si>
    <t>1:54.470</t>
  </si>
  <si>
    <t>1:53.765</t>
  </si>
  <si>
    <t>1:55.692</t>
  </si>
  <si>
    <t>1:54.037</t>
  </si>
  <si>
    <t>1:53.835</t>
  </si>
  <si>
    <t>1:55.582</t>
  </si>
  <si>
    <t>1:54.358</t>
  </si>
  <si>
    <t>1:53.981</t>
  </si>
  <si>
    <t>1:54.835</t>
  </si>
  <si>
    <t>1:54.136</t>
  </si>
  <si>
    <t>1:54.027</t>
  </si>
  <si>
    <t>1:55.353</t>
  </si>
  <si>
    <t>1:54.095</t>
  </si>
  <si>
    <t>1:54.184</t>
  </si>
  <si>
    <t>1:55.169</t>
  </si>
  <si>
    <t>1:54.112</t>
  </si>
  <si>
    <t>1:54.477</t>
  </si>
  <si>
    <t>1:55.489</t>
  </si>
  <si>
    <t>1:54.258</t>
  </si>
  <si>
    <t>1:54.765</t>
  </si>
  <si>
    <t>1:55.417</t>
  </si>
  <si>
    <t>1:54.460</t>
  </si>
  <si>
    <t>1:54.810</t>
  </si>
  <si>
    <t>1:55.722</t>
  </si>
  <si>
    <t>1:54.473</t>
  </si>
  <si>
    <t>1:54.911</t>
  </si>
  <si>
    <t>1:54.635</t>
  </si>
  <si>
    <t>1:55.451</t>
  </si>
  <si>
    <t>1:54.682</t>
  </si>
  <si>
    <t>1:55.531</t>
  </si>
  <si>
    <t>1:54.764</t>
  </si>
  <si>
    <t>1:56.072</t>
  </si>
  <si>
    <t>1:55.716</t>
  </si>
  <si>
    <t>1:56.308</t>
  </si>
  <si>
    <t>1:56.500</t>
  </si>
  <si>
    <t>1:56.593</t>
  </si>
  <si>
    <t>1:57.230</t>
  </si>
  <si>
    <t>1:57.775</t>
  </si>
  <si>
    <t>1:11.377</t>
  </si>
  <si>
    <t>1:10.496</t>
  </si>
  <si>
    <t>1:09.673</t>
  </si>
  <si>
    <t>1:11.393</t>
  </si>
  <si>
    <t>1:10.811</t>
  </si>
  <si>
    <t>1:10.029</t>
  </si>
  <si>
    <t>1:11.541</t>
  </si>
  <si>
    <t>1:10.505</t>
  </si>
  <si>
    <t>1:10.172</t>
  </si>
  <si>
    <t>1:11.049</t>
  </si>
  <si>
    <t>1:10.552</t>
  </si>
  <si>
    <t>1:10.244</t>
  </si>
  <si>
    <t>1:11.006</t>
  </si>
  <si>
    <t>1:10.678</t>
  </si>
  <si>
    <t>1:10.416</t>
  </si>
  <si>
    <t>1:11.370</t>
  </si>
  <si>
    <t>1:10.689</t>
  </si>
  <si>
    <t>1:10.582</t>
  </si>
  <si>
    <t>1:11.493</t>
  </si>
  <si>
    <t>1:10.845</t>
  </si>
  <si>
    <t>1:10.633</t>
  </si>
  <si>
    <t>1:11:518</t>
  </si>
  <si>
    <t>1:10.611</t>
  </si>
  <si>
    <t>1:10.857</t>
  </si>
  <si>
    <t>1:11.718</t>
  </si>
  <si>
    <t>1:10.815</t>
  </si>
  <si>
    <t>1:10.977</t>
  </si>
  <si>
    <t>1:11.327</t>
  </si>
  <si>
    <t>1:10.914</t>
  </si>
  <si>
    <t>1:11.375</t>
  </si>
  <si>
    <t>1:11.603</t>
  </si>
  <si>
    <t>1:10.955</t>
  </si>
  <si>
    <t>1:11.215</t>
  </si>
  <si>
    <t>1:11.630</t>
  </si>
  <si>
    <t>1:11.295</t>
  </si>
  <si>
    <t>1:11.943</t>
  </si>
  <si>
    <t>1:11.995</t>
  </si>
  <si>
    <t>1:12.168</t>
  </si>
  <si>
    <t>1:13.261</t>
  </si>
  <si>
    <t>1:19.911</t>
  </si>
  <si>
    <t>1:19.727</t>
  </si>
  <si>
    <t>1:19.327</t>
  </si>
  <si>
    <t>1:20.076</t>
  </si>
  <si>
    <t>1:19.808</t>
  </si>
  <si>
    <t>1:19.436</t>
  </si>
  <si>
    <t>1:20.169</t>
  </si>
  <si>
    <t>1:19.877</t>
  </si>
  <si>
    <t>1:19.400</t>
  </si>
  <si>
    <t>1:20.074</t>
  </si>
  <si>
    <t>1:20.007</t>
  </si>
  <si>
    <t>1:19.461</t>
  </si>
  <si>
    <t>1:20.149</t>
  </si>
  <si>
    <t>1:19.799</t>
  </si>
  <si>
    <t>1:19.467</t>
  </si>
  <si>
    <t>1:20.477</t>
  </si>
  <si>
    <t>1:19.641</t>
  </si>
  <si>
    <t>1:19.513</t>
  </si>
  <si>
    <t>1:20.226</t>
  </si>
  <si>
    <t>1:19.662</t>
  </si>
  <si>
    <t>1:20.022</t>
  </si>
  <si>
    <t>1:20.598</t>
  </si>
  <si>
    <t>1:20.216</t>
  </si>
  <si>
    <t>1:20.062</t>
  </si>
  <si>
    <t>1:20.542</t>
  </si>
  <si>
    <t>1:20.314</t>
  </si>
  <si>
    <t>1:20.299</t>
  </si>
  <si>
    <t>1:20.781</t>
  </si>
  <si>
    <t>1:20.411</t>
  </si>
  <si>
    <t>1:20.339</t>
  </si>
  <si>
    <t>1:20.617</t>
  </si>
  <si>
    <t>1:20.421</t>
  </si>
  <si>
    <t>1:20.901</t>
  </si>
  <si>
    <t>1:20.479</t>
  </si>
  <si>
    <t>1:20.856</t>
  </si>
  <si>
    <t>1:20.698</t>
  </si>
  <si>
    <t>1:20.738</t>
  </si>
  <si>
    <t>1:20.764</t>
  </si>
  <si>
    <t>1:20.766</t>
  </si>
  <si>
    <t>1:20.945</t>
  </si>
  <si>
    <t>1:21.013</t>
  </si>
  <si>
    <t>1:21.061</t>
  </si>
  <si>
    <t>1:21.101</t>
  </si>
  <si>
    <t>1:21.445</t>
  </si>
  <si>
    <t>1:42.775</t>
  </si>
  <si>
    <t>1:42.056</t>
  </si>
  <si>
    <t>1:41.365</t>
  </si>
  <si>
    <t>1:43.033</t>
  </si>
  <si>
    <t>1:42.598</t>
  </si>
  <si>
    <t>1:41.686</t>
  </si>
  <si>
    <t>1:43.357</t>
  </si>
  <si>
    <t>1:42.503</t>
  </si>
  <si>
    <t>1:41.805</t>
  </si>
  <si>
    <t>1:43.213</t>
  </si>
  <si>
    <t>1:42.263</t>
  </si>
  <si>
    <t>1:41.813</t>
  </si>
  <si>
    <t>1:43.139</t>
  </si>
  <si>
    <t>1:42.329</t>
  </si>
  <si>
    <t>1:41.874</t>
  </si>
  <si>
    <t>1:43.097</t>
  </si>
  <si>
    <t>1:42.042</t>
  </si>
  <si>
    <t>1:42.023</t>
  </si>
  <si>
    <t>1:43.089</t>
  </si>
  <si>
    <t>1:42.765</t>
  </si>
  <si>
    <t>1:42.289</t>
  </si>
  <si>
    <t>1:43.472</t>
  </si>
  <si>
    <t>1:42.426</t>
  </si>
  <si>
    <t>1:42.369</t>
  </si>
  <si>
    <t>1:43.138</t>
  </si>
  <si>
    <t>1:42.473</t>
  </si>
  <si>
    <t>1:42.530</t>
  </si>
  <si>
    <t>1:42.899</t>
  </si>
  <si>
    <t>1:42.840</t>
  </si>
  <si>
    <t>1:42.859</t>
  </si>
  <si>
    <t>1:43.471</t>
  </si>
  <si>
    <t>1:42.968</t>
  </si>
  <si>
    <t>1:43.337</t>
  </si>
  <si>
    <t>1:43.035</t>
  </si>
  <si>
    <t>1:43.101</t>
  </si>
  <si>
    <t>1:43.191</t>
  </si>
  <si>
    <t>1:43.370</t>
  </si>
  <si>
    <t>1:43.404</t>
  </si>
  <si>
    <t>1:43.547</t>
  </si>
  <si>
    <t>1:43.609</t>
  </si>
  <si>
    <t>1:43.618</t>
  </si>
  <si>
    <t>1:44.246</t>
  </si>
  <si>
    <t>1:44.504</t>
  </si>
  <si>
    <t>1:30.002</t>
  </si>
  <si>
    <t>1:30.007</t>
  </si>
  <si>
    <t>1:29.525</t>
  </si>
  <si>
    <t>1:30.157</t>
  </si>
  <si>
    <t>1:29.680</t>
  </si>
  <si>
    <t>1:29.728</t>
  </si>
  <si>
    <t>1:30.393</t>
  </si>
  <si>
    <t>1:29.929</t>
  </si>
  <si>
    <t>1:30.811</t>
  </si>
  <si>
    <t>1:30.153</t>
  </si>
  <si>
    <t>1:29.867</t>
  </si>
  <si>
    <t>1:30.258</t>
  </si>
  <si>
    <t>1:29.640</t>
  </si>
  <si>
    <t>1:29.953</t>
  </si>
  <si>
    <t>1:30.150</t>
  </si>
  <si>
    <t>1:30.115</t>
  </si>
  <si>
    <t>1:30.684</t>
  </si>
  <si>
    <t>1:30.450</t>
  </si>
  <si>
    <t>1:30.214</t>
  </si>
  <si>
    <t>1:30.289</t>
  </si>
  <si>
    <t>1:30.354</t>
  </si>
  <si>
    <t>1:30.786</t>
  </si>
  <si>
    <t>1:29.747</t>
  </si>
  <si>
    <t>1:30.670</t>
  </si>
  <si>
    <t>1:30.108</t>
  </si>
  <si>
    <t>1:30.679</t>
  </si>
  <si>
    <t>1:30.474</t>
  </si>
  <si>
    <t>1:30.704</t>
  </si>
  <si>
    <t>1:30.624</t>
  </si>
  <si>
    <t>1:30.579</t>
  </si>
  <si>
    <t>1:30.829</t>
  </si>
  <si>
    <t>1:30.653</t>
  </si>
  <si>
    <t>1:30.958</t>
  </si>
  <si>
    <t>1:30.769</t>
  </si>
  <si>
    <t>1:31.085</t>
  </si>
  <si>
    <t>1:31.094</t>
  </si>
  <si>
    <t>1:31.312</t>
  </si>
  <si>
    <t>1:31.572</t>
  </si>
  <si>
    <t>1:32.054</t>
  </si>
  <si>
    <t>1:33.616</t>
  </si>
  <si>
    <t>1:32.851</t>
  </si>
  <si>
    <t>1:32.330</t>
  </si>
  <si>
    <t>1:33.046</t>
  </si>
  <si>
    <t>1:32.584</t>
  </si>
  <si>
    <t>1:32.361</t>
  </si>
  <si>
    <t>1:33.556</t>
  </si>
  <si>
    <t>1:32.836</t>
  </si>
  <si>
    <t>1:32.652</t>
  </si>
  <si>
    <t>1:33.241</t>
  </si>
  <si>
    <t>1:32.962</t>
  </si>
  <si>
    <t>1:32.740</t>
  </si>
  <si>
    <t>1:33.864</t>
  </si>
  <si>
    <t>1:33.0.57</t>
  </si>
  <si>
    <t>1:32.950</t>
  </si>
  <si>
    <t>1:33.536</t>
  </si>
  <si>
    <t>1:33.142</t>
  </si>
  <si>
    <t>1:32.974</t>
  </si>
  <si>
    <t>1:33.550</t>
  </si>
  <si>
    <t>1:33.162</t>
  </si>
  <si>
    <t>1:33.018</t>
  </si>
  <si>
    <t>1:33.973</t>
  </si>
  <si>
    <t>1:33.429</t>
  </si>
  <si>
    <t>1:33.309</t>
  </si>
  <si>
    <t>1:33.564</t>
  </si>
  <si>
    <t>1:33.474</t>
  </si>
  <si>
    <t>1:33.611</t>
  </si>
  <si>
    <t>1:33.020</t>
  </si>
  <si>
    <t>1:33.795</t>
  </si>
  <si>
    <t>1:33.506</t>
  </si>
  <si>
    <t>1:33.601</t>
  </si>
  <si>
    <t>1:33.544</t>
  </si>
  <si>
    <t>1:33.986</t>
  </si>
  <si>
    <t>1:33.597</t>
  </si>
  <si>
    <t>1:34.033</t>
  </si>
  <si>
    <t>1:33.759</t>
  </si>
  <si>
    <t>1:33.339</t>
  </si>
  <si>
    <t>1:34.051</t>
  </si>
  <si>
    <t>1:34.062</t>
  </si>
  <si>
    <t>1:34.152</t>
  </si>
  <si>
    <t>1:34.154</t>
  </si>
  <si>
    <t>1:34.228</t>
  </si>
  <si>
    <t>1:16.778</t>
  </si>
  <si>
    <t>1:16.515</t>
  </si>
  <si>
    <t>1:15.946</t>
  </si>
  <si>
    <t>1:16.803</t>
  </si>
  <si>
    <t>1:16.514</t>
  </si>
  <si>
    <t>1:16.171</t>
  </si>
  <si>
    <t>1:16.505</t>
  </si>
  <si>
    <t>1:16.301</t>
  </si>
  <si>
    <t>1:16.972</t>
  </si>
  <si>
    <t>1:16.641</t>
  </si>
  <si>
    <t>1:16.265</t>
  </si>
  <si>
    <t>1:17.194</t>
  </si>
  <si>
    <t>1:16.937</t>
  </si>
  <si>
    <t>1:16.356</t>
  </si>
  <si>
    <t>1:17.306</t>
  </si>
  <si>
    <t>1:16.973</t>
  </si>
  <si>
    <t>1:16.651</t>
  </si>
  <si>
    <t>1:17.125</t>
  </si>
  <si>
    <t>1:17.003</t>
  </si>
  <si>
    <t>1:16.886</t>
  </si>
  <si>
    <t>1:17.149</t>
  </si>
  <si>
    <t>1:17.048</t>
  </si>
  <si>
    <t>1:16.892</t>
  </si>
  <si>
    <t>1:17.189</t>
  </si>
  <si>
    <t>1:16.988</t>
  </si>
  <si>
    <t>1:17.065</t>
  </si>
  <si>
    <t>1:17.186</t>
  </si>
  <si>
    <t>1:16.995</t>
  </si>
  <si>
    <t>1:17.365</t>
  </si>
  <si>
    <t>1:17.182</t>
  </si>
  <si>
    <t>1:17.129</t>
  </si>
  <si>
    <t>1:17.380</t>
  </si>
  <si>
    <t>1:17.162</t>
  </si>
  <si>
    <t>1:17.307</t>
  </si>
  <si>
    <t>1:17.168</t>
  </si>
  <si>
    <t>1:17.407</t>
  </si>
  <si>
    <t>1:17.294</t>
  </si>
  <si>
    <t>1:17.393</t>
  </si>
  <si>
    <t>1:17.817</t>
  </si>
  <si>
    <t>1:17.558</t>
  </si>
  <si>
    <t>1:17.597</t>
  </si>
  <si>
    <t>1:17.611</t>
  </si>
  <si>
    <t>1:18.072</t>
  </si>
  <si>
    <t>1:30.944</t>
  </si>
  <si>
    <t>1:24.844</t>
  </si>
  <si>
    <t>1:23.405</t>
  </si>
  <si>
    <t>1:26.307</t>
  </si>
  <si>
    <t>1:23.587</t>
  </si>
  <si>
    <t>1:29.172</t>
  </si>
  <si>
    <t>1:26.464</t>
  </si>
  <si>
    <t>1:24.111</t>
  </si>
  <si>
    <t>1:29.171</t>
  </si>
  <si>
    <t>1:26.206</t>
  </si>
  <si>
    <t>1:24.475</t>
  </si>
  <si>
    <t>1:30.758</t>
  </si>
  <si>
    <t>1:25.654</t>
  </si>
  <si>
    <t>1:24.484</t>
  </si>
  <si>
    <t>1:29.839</t>
  </si>
  <si>
    <t>1:26.097</t>
  </si>
  <si>
    <t>1:24.525</t>
  </si>
  <si>
    <t>1:29.072</t>
  </si>
  <si>
    <t>1:25.889</t>
  </si>
  <si>
    <t>1:24.657</t>
  </si>
  <si>
    <t>1:30.114</t>
  </si>
  <si>
    <t>1:25.179</t>
  </si>
  <si>
    <t>1:24.686</t>
  </si>
  <si>
    <t>1:30.207</t>
  </si>
  <si>
    <t>1:25.035</t>
  </si>
  <si>
    <t>1:28.998</t>
  </si>
  <si>
    <t>1:30.580</t>
  </si>
  <si>
    <t>1:26.334</t>
  </si>
  <si>
    <t>1:30.633</t>
  </si>
  <si>
    <t>1:26.472</t>
  </si>
  <si>
    <t>1:28.522</t>
  </si>
  <si>
    <t>1:27.771</t>
  </si>
  <si>
    <t>1:30.035</t>
  </si>
  <si>
    <t>1:28.158</t>
  </si>
  <si>
    <t>1:29.420</t>
  </si>
  <si>
    <t>1:31.150</t>
  </si>
  <si>
    <t>1:31.229</t>
  </si>
  <si>
    <t>1:31.270</t>
  </si>
  <si>
    <t>1:31.623</t>
  </si>
  <si>
    <t>1:32.263</t>
  </si>
  <si>
    <t>1:33.186</t>
  </si>
  <si>
    <t>1:32.779</t>
  </si>
  <si>
    <t>1:32.312</t>
  </si>
  <si>
    <t>1:33.484</t>
  </si>
  <si>
    <t>1:32.711</t>
  </si>
  <si>
    <t>1:32.410</t>
  </si>
  <si>
    <t>1:33.691</t>
  </si>
  <si>
    <t>1:32.879</t>
  </si>
  <si>
    <t>1:32.664</t>
  </si>
  <si>
    <t>1:33.016</t>
  </si>
  <si>
    <t>1:32.783</t>
  </si>
  <si>
    <t>1:33.299</t>
  </si>
  <si>
    <t>1:33.085</t>
  </si>
  <si>
    <t>1:32.797</t>
  </si>
  <si>
    <t>1:33.592</t>
  </si>
  <si>
    <t>1:33.099</t>
  </si>
  <si>
    <t>1:33.008</t>
  </si>
  <si>
    <t>1:33.789</t>
  </si>
  <si>
    <t>1:33.089</t>
  </si>
  <si>
    <t>1:33.029</t>
  </si>
  <si>
    <t>1:33.450</t>
  </si>
  <si>
    <t>1:33.024</t>
  </si>
  <si>
    <t>1:33.033</t>
  </si>
  <si>
    <t>1:33.920</t>
  </si>
  <si>
    <t>1:33.114</t>
  </si>
  <si>
    <t>1:33.062</t>
  </si>
  <si>
    <t>1:33.225</t>
  </si>
  <si>
    <t>1:32.567</t>
  </si>
  <si>
    <t>1:48.106</t>
  </si>
  <si>
    <t>1:33.968</t>
  </si>
  <si>
    <t>1:33.221</t>
  </si>
  <si>
    <t>1:33.991</t>
  </si>
  <si>
    <t>1:33.297</t>
  </si>
  <si>
    <t>1:34.079</t>
  </si>
  <si>
    <t>1:33.566</t>
  </si>
  <si>
    <t>1:33.746</t>
  </si>
  <si>
    <t>1:33.749</t>
  </si>
  <si>
    <t>1:34.087</t>
  </si>
  <si>
    <t>1:34.257</t>
  </si>
  <si>
    <t>1:34.155</t>
  </si>
  <si>
    <t>1:34.258</t>
  </si>
  <si>
    <t>1:34.425</t>
  </si>
  <si>
    <t>1:34.430</t>
  </si>
  <si>
    <t>1:34.484</t>
  </si>
  <si>
    <t>1:21.579</t>
  </si>
  <si>
    <t>1:20.687</t>
  </si>
  <si>
    <t>1:20.520</t>
  </si>
  <si>
    <t>1:21.241</t>
  </si>
  <si>
    <t>1:21.069</t>
  </si>
  <si>
    <t>1:20.575</t>
  </si>
  <si>
    <t>1:21.578</t>
  </si>
  <si>
    <t>1:20.983</t>
  </si>
  <si>
    <t>1:20.772</t>
  </si>
  <si>
    <t>1:21.821</t>
  </si>
  <si>
    <t>1:21.121</t>
  </si>
  <si>
    <t>1:20.829</t>
  </si>
  <si>
    <t>1:21.278</t>
  </si>
  <si>
    <t>1:21.000</t>
  </si>
  <si>
    <t>1:20.852</t>
  </si>
  <si>
    <t>1:21.637</t>
  </si>
  <si>
    <t>1:20.095</t>
  </si>
  <si>
    <t>1:21.011</t>
  </si>
  <si>
    <t>1:21.447</t>
  </si>
  <si>
    <t>1:21.199</t>
  </si>
  <si>
    <t>1:21.041</t>
  </si>
  <si>
    <t>1:21.608</t>
  </si>
  <si>
    <t>1:21.208</t>
  </si>
  <si>
    <t>1:21.251</t>
  </si>
  <si>
    <t>1:21.675</t>
  </si>
  <si>
    <t>1:21.425</t>
  </si>
  <si>
    <t>1:21.891</t>
  </si>
  <si>
    <t>1:21.387</t>
  </si>
  <si>
    <t>1:21.500</t>
  </si>
  <si>
    <t>1:21.843</t>
  </si>
  <si>
    <t>1:21.437</t>
  </si>
  <si>
    <t>1:22.103</t>
  </si>
  <si>
    <t>1:21.501</t>
  </si>
  <si>
    <t>1:21.927</t>
  </si>
  <si>
    <t>1:21.731</t>
  </si>
  <si>
    <t>1:22.364</t>
  </si>
  <si>
    <t>1:22.011</t>
  </si>
  <si>
    <t>1:21.911</t>
  </si>
  <si>
    <t>1:22.390</t>
  </si>
  <si>
    <t>1:22.411</t>
  </si>
  <si>
    <t>1:22.422</t>
  </si>
  <si>
    <t>1:22.594</t>
  </si>
  <si>
    <t>1:22.714</t>
  </si>
  <si>
    <t>1:23.682</t>
  </si>
  <si>
    <t>1:23.098</t>
  </si>
  <si>
    <t>1:22.595</t>
  </si>
  <si>
    <t>1:23.640</t>
  </si>
  <si>
    <t>1:23.199</t>
  </si>
  <si>
    <t>1:22.804</t>
  </si>
  <si>
    <t>1:22.985</t>
  </si>
  <si>
    <t>1:22.824</t>
  </si>
  <si>
    <t>1:23.722</t>
  </si>
  <si>
    <t>1:23.040</t>
  </si>
  <si>
    <t>1:22.886</t>
  </si>
  <si>
    <t>1:23.516</t>
  </si>
  <si>
    <t>1:22.998</t>
  </si>
  <si>
    <t>1:22.945</t>
  </si>
  <si>
    <t>1:23.548</t>
  </si>
  <si>
    <t>1:23.086</t>
  </si>
  <si>
    <t>1:22.984</t>
  </si>
  <si>
    <t>1:23.678</t>
  </si>
  <si>
    <t>1:23.283</t>
  </si>
  <si>
    <t>1:23.132</t>
  </si>
  <si>
    <t>1:23.794</t>
  </si>
  <si>
    <t>1:23.268</t>
  </si>
  <si>
    <t>1:23.196</t>
  </si>
  <si>
    <t>1:23.481</t>
  </si>
  <si>
    <t>1:23.341</t>
  </si>
  <si>
    <t>1:23.204</t>
  </si>
  <si>
    <t>1:23.559</t>
  </si>
  <si>
    <t>1:23.379</t>
  </si>
  <si>
    <t>1:23.364</t>
  </si>
  <si>
    <t>1:23.735</t>
  </si>
  <si>
    <t>1:23.419</t>
  </si>
  <si>
    <t>1:23.733</t>
  </si>
  <si>
    <t>1:23.472</t>
  </si>
  <si>
    <t>1:23.729</t>
  </si>
  <si>
    <t>1:23.784</t>
  </si>
  <si>
    <t>1:23.302</t>
  </si>
  <si>
    <t>1:23.833</t>
  </si>
  <si>
    <t>1:23.632</t>
  </si>
  <si>
    <t>1:23.877</t>
  </si>
  <si>
    <t>1:23.821</t>
  </si>
  <si>
    <t>1:23.880</t>
  </si>
  <si>
    <t>1:23.887</t>
  </si>
  <si>
    <t>1:23.912</t>
  </si>
  <si>
    <t>1:24.105</t>
  </si>
  <si>
    <t>Winner</t>
  </si>
  <si>
    <t>Podium</t>
  </si>
  <si>
    <t>Positions Gained</t>
  </si>
  <si>
    <t>Pole Winner</t>
  </si>
  <si>
    <t>Points Finish</t>
  </si>
  <si>
    <t>Season</t>
  </si>
  <si>
    <t>Row Labels</t>
  </si>
  <si>
    <t>Grand Total</t>
  </si>
  <si>
    <t>Championship Points</t>
  </si>
  <si>
    <t>Who scored the most championship points?</t>
  </si>
  <si>
    <t>Race Wins</t>
  </si>
  <si>
    <t>Which driver won the most races?</t>
  </si>
  <si>
    <t>Podium Finishes</t>
  </si>
  <si>
    <t>Which driver achieved the most podium finishes?</t>
  </si>
  <si>
    <t>Constructor Points</t>
  </si>
  <si>
    <t>Which constructor scored the most points?</t>
  </si>
  <si>
    <t>Numeric Position</t>
  </si>
  <si>
    <t>Average Finish Position</t>
  </si>
  <si>
    <t>Which constructor was the most consistent?</t>
  </si>
  <si>
    <t>Total Points</t>
  </si>
  <si>
    <t>How did the 2025 season compare with 2024?</t>
  </si>
  <si>
    <t>Count of Pole Winner</t>
  </si>
  <si>
    <t>Did Pole Position increase chances of winning?</t>
  </si>
  <si>
    <t>FORMULA 1 2025 SEASON DASHBOARD</t>
  </si>
  <si>
    <t>season performance overview</t>
  </si>
  <si>
    <t>KPI</t>
  </si>
  <si>
    <t>Value</t>
  </si>
  <si>
    <t>Championship Leader</t>
  </si>
  <si>
    <t>Total Drivers</t>
  </si>
  <si>
    <t>Total Teams</t>
  </si>
  <si>
    <t>Total Races</t>
  </si>
  <si>
    <t>Pole Conversion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</si>
</sst>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0"/>
      <name val="Calibri"/>
      <family val="2"/>
      <scheme val="minor"/>
    </font>
    <font>
      <sz val="18"/>
      <color rgb="FFFF0000"/>
      <name val="Segoe UI Black"/>
      <family val="2"/>
    </font>
    <font>
      <sz val="12"/>
      <color rgb="FFFF0000"/>
      <name val="Segoe UI"/>
      <family val="2"/>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s>
  <borders count="4">
    <border>
      <left/>
      <right/>
      <top/>
      <bottom/>
      <diagonal/>
    </border>
    <border>
      <left/>
      <right/>
      <top style="thin">
        <color theme="9" tint="0.39997558519241921"/>
      </top>
      <bottom/>
      <diagonal/>
    </border>
    <border>
      <left/>
      <right/>
      <top style="thin">
        <color theme="9"/>
      </top>
      <bottom/>
      <diagonal/>
    </border>
    <border>
      <left style="thin">
        <color theme="9" tint="0.39997558519241921"/>
      </left>
      <right/>
      <top style="thin">
        <color theme="9" tint="0.39997558519241921"/>
      </top>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 borderId="1" xfId="0" applyFill="1" applyBorder="1"/>
    <xf numFmtId="0" fontId="0" fillId="0" borderId="2" xfId="0" applyBorder="1"/>
    <xf numFmtId="0" fontId="0" fillId="3" borderId="3" xfId="0" applyFill="1" applyBorder="1"/>
    <xf numFmtId="0" fontId="0" fillId="0" borderId="3" xfId="0" applyBorder="1"/>
    <xf numFmtId="0" fontId="0" fillId="0" borderId="1" xfId="0" applyBorder="1"/>
    <xf numFmtId="0" fontId="1" fillId="2" borderId="0" xfId="0" applyFont="1" applyFill="1"/>
    <xf numFmtId="10" fontId="0" fillId="0" borderId="0" xfId="0" applyNumberFormat="1"/>
    <xf numFmtId="0" fontId="0" fillId="4" borderId="0" xfId="0" applyFill="1"/>
    <xf numFmtId="0" fontId="2" fillId="4" borderId="0" xfId="0" applyFont="1" applyFill="1"/>
    <xf numFmtId="0" fontId="3" fillId="4" borderId="0" xfId="0" applyFont="1" applyFill="1"/>
    <xf numFmtId="0" fontId="0" fillId="0" borderId="0" xfId="0" applyAlignment="1">
      <alignment horizontal="center"/>
    </xf>
    <xf numFmtId="0" fontId="0" fillId="0" borderId="0" xfId="0" applyNumberFormat="1"/>
  </cellXfs>
  <cellStyles count="1">
    <cellStyle name="Normal" xfId="0" builtinId="0"/>
  </cellStyles>
  <dxfs count="6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op>
        <bottom/>
        <vertical/>
        <horizontal/>
      </border>
    </dxf>
    <dxf>
      <border outline="0">
        <left style="thin">
          <color theme="9"/>
        </left>
        <right style="thin">
          <color theme="9"/>
        </right>
        <top style="thin">
          <color theme="9"/>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color rgb="FFC00000"/>
        <name val="Aptos"/>
        <family val="2"/>
        <scheme val="none"/>
      </font>
      <fill>
        <patternFill>
          <bgColor theme="1" tint="4.9989318521683403E-2"/>
        </patternFill>
      </fill>
    </dxf>
    <dxf>
      <font>
        <color rgb="FFC00000"/>
        <name val="Aptos"/>
        <family val="2"/>
        <scheme val="none"/>
      </font>
      <fill>
        <patternFill>
          <bgColor theme="1" tint="4.9989318521683403E-2"/>
        </patternFill>
      </fill>
    </dxf>
    <dxf>
      <font>
        <color rgb="FFC00000"/>
      </font>
      <fill>
        <patternFill>
          <bgColor theme="1" tint="4.9989318521683403E-2"/>
        </patternFill>
      </fill>
    </dxf>
    <dxf>
      <font>
        <color rgb="FFC00000"/>
      </font>
      <fill>
        <patternFill>
          <bgColor theme="1"/>
        </patternFill>
      </fill>
    </dxf>
    <dxf>
      <font>
        <color theme="1"/>
      </font>
      <fill>
        <patternFill>
          <bgColor rgb="FFC00000"/>
        </patternFill>
      </fill>
    </dxf>
    <dxf>
      <font>
        <color rgb="FFC00000"/>
      </font>
    </dxf>
  </dxfs>
  <tableStyles count="6" defaultTableStyle="TableStyleMedium2" defaultPivotStyle="PivotStyleLight16">
    <tableStyle name="PivotTable Style 1" table="0" count="1" xr9:uid="{1AAFE17A-DC81-4C52-BE4D-5C049A88097D}">
      <tableStyleElement type="wholeTable" dxfId="67"/>
    </tableStyle>
    <tableStyle name="PivotTable Style 2" table="0" count="2" xr9:uid="{33A76731-46C2-4C3F-B46B-A5771DE94A05}">
      <tableStyleElement type="wholeTable" dxfId="66"/>
      <tableStyleElement type="headerRow" dxfId="65"/>
    </tableStyle>
    <tableStyle name="Slicer Style 1" pivot="0" table="0" count="0" xr9:uid="{1B1F0F80-C4F4-46DF-A55E-72B88749D419}"/>
    <tableStyle name="Slicer Style 2" pivot="0" table="0" count="1" xr9:uid="{57C3F326-036C-4E64-8A47-9570DE1F87E0}">
      <tableStyleElement type="wholeTable" dxfId="64"/>
    </tableStyle>
    <tableStyle name="Slicer Style 3" pivot="0" table="0" count="1" xr9:uid="{D6AE503C-EA75-4A06-BAF9-537E3A4DE58F}">
      <tableStyleElement type="wholeTable" dxfId="63"/>
    </tableStyle>
    <tableStyle name="Slicer Style 4" pivot="0" table="0" count="2" xr9:uid="{C870AE08-957B-4FC5-80B4-59735148727E}">
      <tableStyleElement type="wholeTable" dxfId="62"/>
    </tableStyle>
  </tableStyles>
  <colors>
    <mruColors>
      <color rgb="FFFFFFFF"/>
    </mruColors>
  </colors>
  <extLst>
    <ext xmlns:x14="http://schemas.microsoft.com/office/spreadsheetml/2009/9/main" uri="{46F421CA-312F-682f-3DD2-61675219B42D}">
      <x14:dxfs count="1">
        <dxf>
          <font>
            <color theme="1" tint="4.9989318521683403E-2"/>
          </font>
          <fill>
            <patternFill>
              <bgColor rgb="FFC00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[Formula1-2025-Performance-Dashboard.xlsx]Pivot Tables!PivotTable1</c:name>
    <c:fmtId val="9"/>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a:latin typeface="Aptos" panose="020B0004020202020204" pitchFamily="34" charset="0"/>
              </a:rPr>
              <a:t>Championship points by driver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Tables'!$A$2:$A$23</c:f>
              <c:strCache>
                <c:ptCount val="21"/>
                <c:pt idx="0">
                  <c:v>Oscar Piastri</c:v>
                </c:pt>
                <c:pt idx="1">
                  <c:v>Lando Norris</c:v>
                </c:pt>
                <c:pt idx="2">
                  <c:v>Max Verstappen</c:v>
                </c:pt>
                <c:pt idx="3">
                  <c:v>George Russell</c:v>
                </c:pt>
                <c:pt idx="4">
                  <c:v>Charles Leclerc</c:v>
                </c:pt>
                <c:pt idx="5">
                  <c:v>Lewis Hamilton</c:v>
                </c:pt>
                <c:pt idx="6">
                  <c:v>Kimi Antonelli</c:v>
                </c:pt>
                <c:pt idx="7">
                  <c:v>Alexander Albon</c:v>
                </c:pt>
                <c:pt idx="8">
                  <c:v>Isack Hadjar</c:v>
                </c:pt>
                <c:pt idx="9">
                  <c:v>Esteban Ocon</c:v>
                </c:pt>
                <c:pt idx="10">
                  <c:v>Nico Hulkenberg</c:v>
                </c:pt>
                <c:pt idx="11">
                  <c:v>Carlos Sainz</c:v>
                </c:pt>
                <c:pt idx="12">
                  <c:v>Pierre Gasly</c:v>
                </c:pt>
                <c:pt idx="13">
                  <c:v>Lance Stroll</c:v>
                </c:pt>
                <c:pt idx="14">
                  <c:v>Oliver Bearman</c:v>
                </c:pt>
                <c:pt idx="15">
                  <c:v>Yuki Tsunoda</c:v>
                </c:pt>
                <c:pt idx="16">
                  <c:v>Liam Lawson</c:v>
                </c:pt>
                <c:pt idx="17">
                  <c:v>Fernando Alonso</c:v>
                </c:pt>
                <c:pt idx="18">
                  <c:v>Gabriel Bortoleto</c:v>
                </c:pt>
                <c:pt idx="19">
                  <c:v>Franco Colapinto</c:v>
                </c:pt>
                <c:pt idx="20">
                  <c:v>Jack Doohan</c:v>
                </c:pt>
              </c:strCache>
            </c:strRef>
          </c:cat>
          <c:val>
            <c:numRef>
              <c:f>'Pivot Tables'!$B$2:$B$23</c:f>
              <c:numCache>
                <c:formatCode>General</c:formatCode>
                <c:ptCount val="21"/>
                <c:pt idx="0">
                  <c:v>172</c:v>
                </c:pt>
                <c:pt idx="1">
                  <c:v>167</c:v>
                </c:pt>
                <c:pt idx="2">
                  <c:v>131</c:v>
                </c:pt>
                <c:pt idx="3">
                  <c:v>101</c:v>
                </c:pt>
                <c:pt idx="4">
                  <c:v>90</c:v>
                </c:pt>
                <c:pt idx="5">
                  <c:v>57</c:v>
                </c:pt>
                <c:pt idx="6">
                  <c:v>44</c:v>
                </c:pt>
                <c:pt idx="7">
                  <c:v>42</c:v>
                </c:pt>
                <c:pt idx="8">
                  <c:v>21</c:v>
                </c:pt>
                <c:pt idx="9">
                  <c:v>20</c:v>
                </c:pt>
                <c:pt idx="10">
                  <c:v>16</c:v>
                </c:pt>
                <c:pt idx="11">
                  <c:v>12</c:v>
                </c:pt>
                <c:pt idx="12">
                  <c:v>10</c:v>
                </c:pt>
                <c:pt idx="13">
                  <c:v>10</c:v>
                </c:pt>
                <c:pt idx="14">
                  <c:v>6</c:v>
                </c:pt>
                <c:pt idx="15">
                  <c:v>4</c:v>
                </c:pt>
                <c:pt idx="16">
                  <c:v>4</c:v>
                </c:pt>
                <c:pt idx="17">
                  <c:v>2</c:v>
                </c:pt>
                <c:pt idx="18">
                  <c:v>0</c:v>
                </c:pt>
                <c:pt idx="19">
                  <c:v>0</c:v>
                </c:pt>
                <c:pt idx="20">
                  <c:v>0</c:v>
                </c:pt>
              </c:numCache>
            </c:numRef>
          </c:val>
          <c:extLst>
            <c:ext xmlns:c16="http://schemas.microsoft.com/office/drawing/2014/chart" uri="{C3380CC4-5D6E-409C-BE32-E72D297353CC}">
              <c16:uniqueId val="{00000000-43D9-4EAF-87A5-578A81BA8E9C}"/>
            </c:ext>
          </c:extLst>
        </c:ser>
        <c:dLbls>
          <c:dLblPos val="outEnd"/>
          <c:showLegendKey val="0"/>
          <c:showVal val="1"/>
          <c:showCatName val="0"/>
          <c:showSerName val="0"/>
          <c:showPercent val="0"/>
          <c:showBubbleSize val="0"/>
        </c:dLbls>
        <c:gapWidth val="182"/>
        <c:axId val="823795056"/>
        <c:axId val="823792656"/>
      </c:barChart>
      <c:catAx>
        <c:axId val="823795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823792656"/>
        <c:crosses val="autoZero"/>
        <c:auto val="1"/>
        <c:lblAlgn val="ctr"/>
        <c:lblOffset val="100"/>
        <c:noMultiLvlLbl val="0"/>
      </c:catAx>
      <c:valAx>
        <c:axId val="82379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82379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[Formula1-2025-Performance-Dashboard.xlsx]Pivot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sz="1400" b="0" i="0" u="none" strike="noStrike" baseline="0">
                <a:latin typeface="Aptos" panose="020B0004020202020204" pitchFamily="34" charset="0"/>
              </a:rPr>
              <a:t>Constructor Championship Points</a:t>
            </a:r>
            <a:endParaRPr lang="en-US">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Tables'!$D$14:$D$24</c:f>
              <c:strCache>
                <c:ptCount val="10"/>
                <c:pt idx="0">
                  <c:v>McLaren Mercedes</c:v>
                </c:pt>
                <c:pt idx="1">
                  <c:v>Ferrari</c:v>
                </c:pt>
                <c:pt idx="2">
                  <c:v>Mercedes</c:v>
                </c:pt>
                <c:pt idx="3">
                  <c:v>Red Bull Racing Honda RBPT</c:v>
                </c:pt>
                <c:pt idx="4">
                  <c:v>Williams Mercedes</c:v>
                </c:pt>
                <c:pt idx="5">
                  <c:v>Haas Ferrari</c:v>
                </c:pt>
                <c:pt idx="6">
                  <c:v>Racing Bulls Honda RBPT</c:v>
                </c:pt>
                <c:pt idx="7">
                  <c:v>Kick Sauber Ferrari</c:v>
                </c:pt>
                <c:pt idx="8">
                  <c:v>Aston Martin Aramco Mercedes</c:v>
                </c:pt>
                <c:pt idx="9">
                  <c:v>Alpine Renault</c:v>
                </c:pt>
              </c:strCache>
            </c:strRef>
          </c:cat>
          <c:val>
            <c:numRef>
              <c:f>'Pivot Tables'!$E$14:$E$24</c:f>
              <c:numCache>
                <c:formatCode>General</c:formatCode>
                <c:ptCount val="10"/>
                <c:pt idx="0">
                  <c:v>339</c:v>
                </c:pt>
                <c:pt idx="1">
                  <c:v>147</c:v>
                </c:pt>
                <c:pt idx="2">
                  <c:v>145</c:v>
                </c:pt>
                <c:pt idx="3">
                  <c:v>135</c:v>
                </c:pt>
                <c:pt idx="4">
                  <c:v>54</c:v>
                </c:pt>
                <c:pt idx="5">
                  <c:v>26</c:v>
                </c:pt>
                <c:pt idx="6">
                  <c:v>25</c:v>
                </c:pt>
                <c:pt idx="7">
                  <c:v>16</c:v>
                </c:pt>
                <c:pt idx="8">
                  <c:v>12</c:v>
                </c:pt>
                <c:pt idx="9">
                  <c:v>10</c:v>
                </c:pt>
              </c:numCache>
            </c:numRef>
          </c:val>
          <c:extLst>
            <c:ext xmlns:c16="http://schemas.microsoft.com/office/drawing/2014/chart" uri="{C3380CC4-5D6E-409C-BE32-E72D297353CC}">
              <c16:uniqueId val="{00000000-67ED-4B95-9438-BFFD08281654}"/>
            </c:ext>
          </c:extLst>
        </c:ser>
        <c:dLbls>
          <c:dLblPos val="outEnd"/>
          <c:showLegendKey val="0"/>
          <c:showVal val="1"/>
          <c:showCatName val="0"/>
          <c:showSerName val="0"/>
          <c:showPercent val="0"/>
          <c:showBubbleSize val="0"/>
        </c:dLbls>
        <c:gapWidth val="182"/>
        <c:axId val="1422535424"/>
        <c:axId val="1422544064"/>
      </c:barChart>
      <c:catAx>
        <c:axId val="1422535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422544064"/>
        <c:crosses val="autoZero"/>
        <c:auto val="1"/>
        <c:lblAlgn val="ctr"/>
        <c:lblOffset val="100"/>
        <c:noMultiLvlLbl val="0"/>
      </c:catAx>
      <c:valAx>
        <c:axId val="1422544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422535424"/>
        <c:crosses val="autoZero"/>
        <c:crossBetween val="between"/>
      </c:valAx>
      <c:spPr>
        <a:noFill/>
        <a:ln>
          <a:solidFill>
            <a:srgbClr val="FFFF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[Formula1-2025-Performance-Dashboard.xlsx]Pivot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sz="1400" b="0" i="0" u="none" strike="noStrike" baseline="0"/>
              <a:t>Race Wins by Driver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Oscar Piastri</c:v>
                </c:pt>
                <c:pt idx="1">
                  <c:v>Lando Norris</c:v>
                </c:pt>
                <c:pt idx="2">
                  <c:v>Max Verstappen</c:v>
                </c:pt>
              </c:strCache>
            </c:strRef>
          </c:cat>
          <c:val>
            <c:numRef>
              <c:f>'Pivot Tables'!$E$4:$E$7</c:f>
              <c:numCache>
                <c:formatCode>General</c:formatCode>
                <c:ptCount val="3"/>
                <c:pt idx="0">
                  <c:v>5</c:v>
                </c:pt>
                <c:pt idx="1">
                  <c:v>2</c:v>
                </c:pt>
                <c:pt idx="2">
                  <c:v>2</c:v>
                </c:pt>
              </c:numCache>
            </c:numRef>
          </c:val>
          <c:extLst>
            <c:ext xmlns:c16="http://schemas.microsoft.com/office/drawing/2014/chart" uri="{C3380CC4-5D6E-409C-BE32-E72D297353CC}">
              <c16:uniqueId val="{00000000-4BA8-4F91-B509-9108A5F34C0F}"/>
            </c:ext>
          </c:extLst>
        </c:ser>
        <c:dLbls>
          <c:dLblPos val="outEnd"/>
          <c:showLegendKey val="0"/>
          <c:showVal val="1"/>
          <c:showCatName val="0"/>
          <c:showSerName val="0"/>
          <c:showPercent val="0"/>
          <c:showBubbleSize val="0"/>
        </c:dLbls>
        <c:gapWidth val="219"/>
        <c:overlap val="-27"/>
        <c:axId val="1545136096"/>
        <c:axId val="1545138976"/>
      </c:barChart>
      <c:catAx>
        <c:axId val="15451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545138976"/>
        <c:crosses val="autoZero"/>
        <c:auto val="1"/>
        <c:lblAlgn val="ctr"/>
        <c:lblOffset val="100"/>
        <c:noMultiLvlLbl val="0"/>
      </c:catAx>
      <c:valAx>
        <c:axId val="1545138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54513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[Formula1-2025-Performance-Dashboard.xlsx]Pivot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Most</a:t>
            </a:r>
            <a:r>
              <a:rPr lang="en-US" baseline="0"/>
              <a:t> </a:t>
            </a:r>
            <a:r>
              <a:rPr lang="en-US"/>
              <a:t>Podium Finishes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Oscar Piastri</c:v>
                </c:pt>
                <c:pt idx="1">
                  <c:v>Lando Norris</c:v>
                </c:pt>
                <c:pt idx="2">
                  <c:v>George Russell</c:v>
                </c:pt>
                <c:pt idx="3">
                  <c:v>Max Verstappen</c:v>
                </c:pt>
                <c:pt idx="4">
                  <c:v>Charles Leclerc</c:v>
                </c:pt>
              </c:strCache>
            </c:strRef>
          </c:cat>
          <c:val>
            <c:numRef>
              <c:f>'Pivot Tables'!$H$4:$H$9</c:f>
              <c:numCache>
                <c:formatCode>General</c:formatCode>
                <c:ptCount val="5"/>
                <c:pt idx="0">
                  <c:v>8</c:v>
                </c:pt>
                <c:pt idx="1">
                  <c:v>8</c:v>
                </c:pt>
                <c:pt idx="2">
                  <c:v>4</c:v>
                </c:pt>
                <c:pt idx="3">
                  <c:v>4</c:v>
                </c:pt>
                <c:pt idx="4">
                  <c:v>3</c:v>
                </c:pt>
              </c:numCache>
            </c:numRef>
          </c:val>
          <c:smooth val="0"/>
          <c:extLst>
            <c:ext xmlns:c16="http://schemas.microsoft.com/office/drawing/2014/chart" uri="{C3380CC4-5D6E-409C-BE32-E72D297353CC}">
              <c16:uniqueId val="{00000000-B44D-4033-BDB9-6CDE244F445F}"/>
            </c:ext>
          </c:extLst>
        </c:ser>
        <c:dLbls>
          <c:dLblPos val="t"/>
          <c:showLegendKey val="0"/>
          <c:showVal val="1"/>
          <c:showCatName val="0"/>
          <c:showSerName val="0"/>
          <c:showPercent val="0"/>
          <c:showBubbleSize val="0"/>
        </c:dLbls>
        <c:marker val="1"/>
        <c:smooth val="0"/>
        <c:axId val="1426645616"/>
        <c:axId val="1426649456"/>
      </c:lineChart>
      <c:catAx>
        <c:axId val="14266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426649456"/>
        <c:crosses val="autoZero"/>
        <c:auto val="1"/>
        <c:lblAlgn val="ctr"/>
        <c:lblOffset val="100"/>
        <c:noMultiLvlLbl val="0"/>
      </c:catAx>
      <c:valAx>
        <c:axId val="142664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42664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[Formula1-2025-Performance-Dashboard.xlsx]Pivot Tables!PivotTable17</c:name>
    <c:fmtId val="6"/>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IN"/>
              <a:t>Pole Position =</a:t>
            </a:r>
            <a:r>
              <a:rPr lang="en-IN" baseline="0"/>
              <a:t> </a:t>
            </a:r>
            <a:r>
              <a:rPr lang="en-IN"/>
              <a:t>Race Win Conversion?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6175-4128-B5C3-DB82543889B1}"/>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6175-4128-B5C3-DB82543889B1}"/>
              </c:ext>
            </c:extLst>
          </c:dPt>
          <c:cat>
            <c:strRef>
              <c:f>'Pivot Tables'!$J$4:$J$6</c:f>
              <c:strCache>
                <c:ptCount val="2"/>
                <c:pt idx="0">
                  <c:v>No</c:v>
                </c:pt>
                <c:pt idx="1">
                  <c:v>Yes</c:v>
                </c:pt>
              </c:strCache>
            </c:strRef>
          </c:cat>
          <c:val>
            <c:numRef>
              <c:f>'Pivot Tables'!$K$4:$K$6</c:f>
              <c:numCache>
                <c:formatCode>General</c:formatCode>
                <c:ptCount val="2"/>
                <c:pt idx="0">
                  <c:v>3</c:v>
                </c:pt>
                <c:pt idx="1">
                  <c:v>6</c:v>
                </c:pt>
              </c:numCache>
            </c:numRef>
          </c:val>
          <c:extLst>
            <c:ext xmlns:c16="http://schemas.microsoft.com/office/drawing/2014/chart" uri="{C3380CC4-5D6E-409C-BE32-E72D297353CC}">
              <c16:uniqueId val="{00000004-6175-4128-B5C3-DB82543889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[Formula1-2025-Performance-Dashboard.xlsx]Pivot Tables!PivotTable18</c:name>
    <c:fmtId val="5"/>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a:p>
            <a:pPr>
              <a:defRPr/>
            </a:pPr>
            <a:endParaRPr lang="en-US"/>
          </a:p>
          <a:p>
            <a:pPr>
              <a:defRPr/>
            </a:pPr>
            <a:r>
              <a:rPr lang="en-US"/>
              <a:t>2024 vs 2025 Season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43025473145465"/>
          <c:y val="0.3762702995740691"/>
          <c:w val="0.85132080735550086"/>
          <c:h val="0.5398650722863324"/>
        </c:manualLayout>
      </c:layout>
      <c:areaChart>
        <c:grouping val="standard"/>
        <c:varyColors val="0"/>
        <c:ser>
          <c:idx val="0"/>
          <c:order val="0"/>
          <c:tx>
            <c:strRef>
              <c:f>'Pivot Tables'!$K$11</c:f>
              <c:strCache>
                <c:ptCount val="1"/>
                <c:pt idx="0">
                  <c:v>Total</c:v>
                </c:pt>
              </c:strCache>
            </c:strRef>
          </c:tx>
          <c:spPr>
            <a:solidFill>
              <a:schemeClr val="accent1"/>
            </a:solidFill>
            <a:ln>
              <a:noFill/>
            </a:ln>
            <a:effectLst/>
          </c:spPr>
          <c:cat>
            <c:strRef>
              <c:f>'Pivot Tables'!$J$12:$J$14</c:f>
              <c:strCache>
                <c:ptCount val="2"/>
                <c:pt idx="0">
                  <c:v>2024</c:v>
                </c:pt>
                <c:pt idx="1">
                  <c:v>2025</c:v>
                </c:pt>
              </c:strCache>
            </c:strRef>
          </c:cat>
          <c:val>
            <c:numRef>
              <c:f>'Pivot Tables'!$K$12:$K$14</c:f>
              <c:numCache>
                <c:formatCode>General</c:formatCode>
                <c:ptCount val="2"/>
                <c:pt idx="0">
                  <c:v>1019</c:v>
                </c:pt>
                <c:pt idx="1">
                  <c:v>909</c:v>
                </c:pt>
              </c:numCache>
            </c:numRef>
          </c:val>
          <c:extLst>
            <c:ext xmlns:c16="http://schemas.microsoft.com/office/drawing/2014/chart" uri="{C3380CC4-5D6E-409C-BE32-E72D297353CC}">
              <c16:uniqueId val="{00000000-744F-41A1-AC2C-898D7AD46EAD}"/>
            </c:ext>
          </c:extLst>
        </c:ser>
        <c:dLbls>
          <c:showLegendKey val="0"/>
          <c:showVal val="0"/>
          <c:showCatName val="0"/>
          <c:showSerName val="0"/>
          <c:showPercent val="0"/>
          <c:showBubbleSize val="0"/>
        </c:dLbls>
        <c:axId val="1448516384"/>
        <c:axId val="1448520704"/>
      </c:areaChart>
      <c:catAx>
        <c:axId val="1448516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448520704"/>
        <c:crosses val="autoZero"/>
        <c:auto val="1"/>
        <c:lblAlgn val="ctr"/>
        <c:lblOffset val="100"/>
        <c:noMultiLvlLbl val="0"/>
      </c:catAx>
      <c:valAx>
        <c:axId val="144852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448516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2.xml"/><Relationship Id="rId21" Type="http://schemas.openxmlformats.org/officeDocument/2006/relationships/image" Target="../media/image15.png"/><Relationship Id="rId7" Type="http://schemas.openxmlformats.org/officeDocument/2006/relationships/chart" Target="../charts/chart6.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4.jpeg"/><Relationship Id="rId19" Type="http://schemas.openxmlformats.org/officeDocument/2006/relationships/image" Target="../media/image13.pn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10</xdr:col>
      <xdr:colOff>196850</xdr:colOff>
      <xdr:row>0</xdr:row>
      <xdr:rowOff>53770</xdr:rowOff>
    </xdr:from>
    <xdr:to>
      <xdr:col>23</xdr:col>
      <xdr:colOff>584628</xdr:colOff>
      <xdr:row>3</xdr:row>
      <xdr:rowOff>129584</xdr:rowOff>
    </xdr:to>
    <xdr:sp macro="" textlink="">
      <xdr:nvSpPr>
        <xdr:cNvPr id="46" name="Rectangle: Rounded Corners 45">
          <a:extLst>
            <a:ext uri="{FF2B5EF4-FFF2-40B4-BE49-F238E27FC236}">
              <a16:creationId xmlns:a16="http://schemas.microsoft.com/office/drawing/2014/main" id="{2E4CC8BD-8E97-42D0-B452-EB00AF1F24E9}"/>
            </a:ext>
          </a:extLst>
        </xdr:cNvPr>
        <xdr:cNvSpPr/>
      </xdr:nvSpPr>
      <xdr:spPr>
        <a:xfrm>
          <a:off x="6673850" y="53770"/>
          <a:ext cx="8807878" cy="761614"/>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0</xdr:colOff>
      <xdr:row>1</xdr:row>
      <xdr:rowOff>0</xdr:rowOff>
    </xdr:from>
    <xdr:to>
      <xdr:col>12</xdr:col>
      <xdr:colOff>304800</xdr:colOff>
      <xdr:row>1</xdr:row>
      <xdr:rowOff>303674</xdr:rowOff>
    </xdr:to>
    <xdr:sp macro="" textlink="">
      <xdr:nvSpPr>
        <xdr:cNvPr id="1026" name="AutoShape 2" descr="GALLERY: New look, new tech, new rules – F1 reveals renders of the  innovative 2026 car">
          <a:extLst>
            <a:ext uri="{FF2B5EF4-FFF2-40B4-BE49-F238E27FC236}">
              <a16:creationId xmlns:a16="http://schemas.microsoft.com/office/drawing/2014/main" id="{05970D08-A58D-CBC2-6669-B7030AF12F3C}"/>
            </a:ext>
          </a:extLst>
        </xdr:cNvPr>
        <xdr:cNvSpPr>
          <a:spLocks noChangeAspect="1" noChangeArrowheads="1"/>
        </xdr:cNvSpPr>
      </xdr:nvSpPr>
      <xdr:spPr bwMode="auto">
        <a:xfrm>
          <a:off x="777240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1</xdr:row>
      <xdr:rowOff>0</xdr:rowOff>
    </xdr:from>
    <xdr:to>
      <xdr:col>12</xdr:col>
      <xdr:colOff>304800</xdr:colOff>
      <xdr:row>1</xdr:row>
      <xdr:rowOff>303674</xdr:rowOff>
    </xdr:to>
    <xdr:sp macro="" textlink="">
      <xdr:nvSpPr>
        <xdr:cNvPr id="1027" name="AutoShape 3" descr="GALLERY: New look, new tech, new rules – F1 reveals renders of the  innovative 2026 car">
          <a:extLst>
            <a:ext uri="{FF2B5EF4-FFF2-40B4-BE49-F238E27FC236}">
              <a16:creationId xmlns:a16="http://schemas.microsoft.com/office/drawing/2014/main" id="{3FA0DA8C-513C-5B40-9C0D-0E6441002E56}"/>
            </a:ext>
          </a:extLst>
        </xdr:cNvPr>
        <xdr:cNvSpPr>
          <a:spLocks noChangeAspect="1" noChangeArrowheads="1"/>
        </xdr:cNvSpPr>
      </xdr:nvSpPr>
      <xdr:spPr bwMode="auto">
        <a:xfrm>
          <a:off x="777240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15363</xdr:colOff>
      <xdr:row>0</xdr:row>
      <xdr:rowOff>30726</xdr:rowOff>
    </xdr:from>
    <xdr:to>
      <xdr:col>2</xdr:col>
      <xdr:colOff>612982</xdr:colOff>
      <xdr:row>3</xdr:row>
      <xdr:rowOff>138267</xdr:rowOff>
    </xdr:to>
    <xdr:pic>
      <xdr:nvPicPr>
        <xdr:cNvPr id="7" name="Picture 6">
          <a:extLst>
            <a:ext uri="{FF2B5EF4-FFF2-40B4-BE49-F238E27FC236}">
              <a16:creationId xmlns:a16="http://schemas.microsoft.com/office/drawing/2014/main" id="{F530A2CC-07AE-25EF-9637-4E58C89F3D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4315" b="24662"/>
        <a:stretch>
          <a:fillRect/>
        </a:stretch>
      </xdr:blipFill>
      <xdr:spPr>
        <a:xfrm>
          <a:off x="15363" y="30726"/>
          <a:ext cx="1888103" cy="788630"/>
        </a:xfrm>
        <a:prstGeom prst="rect">
          <a:avLst/>
        </a:prstGeom>
      </xdr:spPr>
    </xdr:pic>
    <xdr:clientData/>
  </xdr:twoCellAnchor>
  <xdr:twoCellAnchor>
    <xdr:from>
      <xdr:col>0</xdr:col>
      <xdr:colOff>31696</xdr:colOff>
      <xdr:row>4</xdr:row>
      <xdr:rowOff>6001</xdr:rowOff>
    </xdr:from>
    <xdr:to>
      <xdr:col>23</xdr:col>
      <xdr:colOff>576513</xdr:colOff>
      <xdr:row>75</xdr:row>
      <xdr:rowOff>173181</xdr:rowOff>
    </xdr:to>
    <xdr:sp macro="" textlink="">
      <xdr:nvSpPr>
        <xdr:cNvPr id="11" name="Rectangle: Rounded Corners 10">
          <a:extLst>
            <a:ext uri="{FF2B5EF4-FFF2-40B4-BE49-F238E27FC236}">
              <a16:creationId xmlns:a16="http://schemas.microsoft.com/office/drawing/2014/main" id="{09F471CD-0861-2028-1F95-12202006AD41}"/>
            </a:ext>
          </a:extLst>
        </xdr:cNvPr>
        <xdr:cNvSpPr/>
      </xdr:nvSpPr>
      <xdr:spPr>
        <a:xfrm>
          <a:off x="31696" y="871910"/>
          <a:ext cx="15481750" cy="13077886"/>
        </a:xfrm>
        <a:prstGeom prst="roundRect">
          <a:avLst>
            <a:gd name="adj" fmla="val 1077"/>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73472</xdr:colOff>
      <xdr:row>4</xdr:row>
      <xdr:rowOff>91141</xdr:rowOff>
    </xdr:from>
    <xdr:to>
      <xdr:col>11</xdr:col>
      <xdr:colOff>580864</xdr:colOff>
      <xdr:row>10</xdr:row>
      <xdr:rowOff>95561</xdr:rowOff>
    </xdr:to>
    <xdr:sp macro="" textlink="'Pivot Tables'!N4">
      <xdr:nvSpPr>
        <xdr:cNvPr id="14" name="Rectangle: Rounded Corners 13">
          <a:extLst>
            <a:ext uri="{FF2B5EF4-FFF2-40B4-BE49-F238E27FC236}">
              <a16:creationId xmlns:a16="http://schemas.microsoft.com/office/drawing/2014/main" id="{DDF0F477-DF13-4896-89DD-30C8CC5BC141}"/>
            </a:ext>
          </a:extLst>
        </xdr:cNvPr>
        <xdr:cNvSpPr/>
      </xdr:nvSpPr>
      <xdr:spPr>
        <a:xfrm>
          <a:off x="5287156" y="960088"/>
          <a:ext cx="2462524" cy="1107315"/>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i="0" u="none" strike="noStrike">
              <a:solidFill>
                <a:srgbClr val="C00000"/>
              </a:solidFill>
              <a:latin typeface="Calibri"/>
              <a:ea typeface="Calibri"/>
              <a:cs typeface="Calibri"/>
            </a:rPr>
            <a:t>TOTAL</a:t>
          </a:r>
          <a:r>
            <a:rPr lang="en-US" sz="1100" b="0" i="0" u="none" strike="noStrike" baseline="0">
              <a:solidFill>
                <a:srgbClr val="C00000"/>
              </a:solidFill>
              <a:latin typeface="Calibri"/>
              <a:ea typeface="Calibri"/>
              <a:cs typeface="Calibri"/>
            </a:rPr>
            <a:t> DRIVERS</a:t>
          </a:r>
        </a:p>
        <a:p>
          <a:pPr algn="r"/>
          <a:endParaRPr lang="en-US" sz="800" b="0" i="0" u="none" strike="noStrike">
            <a:solidFill>
              <a:srgbClr val="C00000"/>
            </a:solidFill>
            <a:latin typeface="Calibri"/>
            <a:ea typeface="Calibri"/>
            <a:cs typeface="Calibri"/>
          </a:endParaRPr>
        </a:p>
        <a:p>
          <a:pPr algn="r"/>
          <a:fld id="{2E0AC38C-D7D0-4360-BAE2-65E019BB47A3}" type="TxLink">
            <a:rPr lang="en-US" sz="2000" b="0" i="0" u="none" strike="noStrike">
              <a:solidFill>
                <a:srgbClr val="C00000"/>
              </a:solidFill>
              <a:latin typeface="Calibri"/>
              <a:ea typeface="Calibri"/>
              <a:cs typeface="Calibri"/>
            </a:rPr>
            <a:pPr algn="r"/>
            <a:t>21</a:t>
          </a:fld>
          <a:endParaRPr lang="en-US" sz="2000" b="0" i="0" u="none" strike="noStrike">
            <a:solidFill>
              <a:srgbClr val="C00000"/>
            </a:solidFill>
            <a:latin typeface="Calibri"/>
            <a:ea typeface="Calibri"/>
            <a:cs typeface="Calibri"/>
          </a:endParaRPr>
        </a:p>
        <a:p>
          <a:pPr algn="r"/>
          <a:r>
            <a:rPr lang="en-IN" sz="1200">
              <a:solidFill>
                <a:srgbClr val="C00000"/>
              </a:solidFill>
            </a:rPr>
            <a:t>Drivers</a:t>
          </a:r>
        </a:p>
      </xdr:txBody>
    </xdr:sp>
    <xdr:clientData/>
  </xdr:twoCellAnchor>
  <xdr:twoCellAnchor>
    <xdr:from>
      <xdr:col>12</xdr:col>
      <xdr:colOff>58766</xdr:colOff>
      <xdr:row>4</xdr:row>
      <xdr:rowOff>93147</xdr:rowOff>
    </xdr:from>
    <xdr:to>
      <xdr:col>15</xdr:col>
      <xdr:colOff>566158</xdr:colOff>
      <xdr:row>10</xdr:row>
      <xdr:rowOff>97567</xdr:rowOff>
    </xdr:to>
    <xdr:sp macro="" textlink="'Pivot Tables'!N5">
      <xdr:nvSpPr>
        <xdr:cNvPr id="15" name="Rectangle: Rounded Corners 14">
          <a:extLst>
            <a:ext uri="{FF2B5EF4-FFF2-40B4-BE49-F238E27FC236}">
              <a16:creationId xmlns:a16="http://schemas.microsoft.com/office/drawing/2014/main" id="{9DE3FF69-CCF2-45E6-9FEF-B826E3A4142B}"/>
            </a:ext>
          </a:extLst>
        </xdr:cNvPr>
        <xdr:cNvSpPr/>
      </xdr:nvSpPr>
      <xdr:spPr>
        <a:xfrm>
          <a:off x="7879292" y="962094"/>
          <a:ext cx="2462524" cy="1107315"/>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i="0" u="none" strike="noStrike">
              <a:solidFill>
                <a:srgbClr val="C00000"/>
              </a:solidFill>
              <a:latin typeface="Calibri"/>
              <a:ea typeface="Calibri"/>
              <a:cs typeface="Calibri"/>
            </a:rPr>
            <a:t>TOTAL TEAMS </a:t>
          </a:r>
        </a:p>
        <a:p>
          <a:pPr algn="r"/>
          <a:endParaRPr lang="en-US" sz="800" b="0" i="0" u="none" strike="noStrike">
            <a:solidFill>
              <a:srgbClr val="C00000"/>
            </a:solidFill>
            <a:latin typeface="Calibri"/>
            <a:ea typeface="Calibri"/>
            <a:cs typeface="Calibri"/>
          </a:endParaRPr>
        </a:p>
        <a:p>
          <a:pPr algn="r"/>
          <a:fld id="{5E272816-5FC5-4D15-9981-3ED7FBB126C5}" type="TxLink">
            <a:rPr lang="en-US" sz="2000" b="0" i="0" u="none" strike="noStrike">
              <a:solidFill>
                <a:srgbClr val="C00000"/>
              </a:solidFill>
              <a:latin typeface="Calibri"/>
              <a:ea typeface="Calibri"/>
              <a:cs typeface="Calibri"/>
            </a:rPr>
            <a:pPr algn="r"/>
            <a:t>11</a:t>
          </a:fld>
          <a:endParaRPr lang="en-US" sz="2000" b="0" i="0" u="none" strike="noStrike">
            <a:solidFill>
              <a:srgbClr val="C00000"/>
            </a:solidFill>
            <a:latin typeface="Calibri"/>
            <a:ea typeface="Calibri"/>
            <a:cs typeface="Calibri"/>
          </a:endParaRPr>
        </a:p>
        <a:p>
          <a:pPr algn="r"/>
          <a:r>
            <a:rPr lang="en-IN" sz="1200">
              <a:solidFill>
                <a:srgbClr val="C00000"/>
              </a:solidFill>
            </a:rPr>
            <a:t>Teams</a:t>
          </a:r>
        </a:p>
      </xdr:txBody>
    </xdr:sp>
    <xdr:clientData/>
  </xdr:twoCellAnchor>
  <xdr:twoCellAnchor>
    <xdr:from>
      <xdr:col>16</xdr:col>
      <xdr:colOff>23341</xdr:colOff>
      <xdr:row>4</xdr:row>
      <xdr:rowOff>91141</xdr:rowOff>
    </xdr:from>
    <xdr:to>
      <xdr:col>19</xdr:col>
      <xdr:colOff>530733</xdr:colOff>
      <xdr:row>10</xdr:row>
      <xdr:rowOff>95561</xdr:rowOff>
    </xdr:to>
    <xdr:sp macro="" textlink="'Pivot Tables'!N6">
      <xdr:nvSpPr>
        <xdr:cNvPr id="16" name="Rectangle: Rounded Corners 15">
          <a:extLst>
            <a:ext uri="{FF2B5EF4-FFF2-40B4-BE49-F238E27FC236}">
              <a16:creationId xmlns:a16="http://schemas.microsoft.com/office/drawing/2014/main" id="{6BFB5DD5-74EF-4BB1-BF6B-452D43E689E4}"/>
            </a:ext>
          </a:extLst>
        </xdr:cNvPr>
        <xdr:cNvSpPr/>
      </xdr:nvSpPr>
      <xdr:spPr>
        <a:xfrm>
          <a:off x="10450709" y="960088"/>
          <a:ext cx="2462524" cy="1107315"/>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i="0" u="none" strike="noStrike">
              <a:solidFill>
                <a:srgbClr val="C00000"/>
              </a:solidFill>
              <a:latin typeface="Calibri"/>
              <a:ea typeface="Calibri"/>
              <a:cs typeface="Calibri"/>
            </a:rPr>
            <a:t>TOTAL RACES</a:t>
          </a:r>
        </a:p>
        <a:p>
          <a:pPr algn="r"/>
          <a:endParaRPr lang="en-US" sz="800" b="0" i="0" u="none" strike="noStrike">
            <a:solidFill>
              <a:srgbClr val="C00000"/>
            </a:solidFill>
            <a:latin typeface="Calibri"/>
            <a:ea typeface="Calibri"/>
            <a:cs typeface="Calibri"/>
          </a:endParaRPr>
        </a:p>
        <a:p>
          <a:pPr algn="r"/>
          <a:r>
            <a:rPr lang="en-US" sz="2000" b="0" i="0" u="none" strike="noStrike">
              <a:solidFill>
                <a:srgbClr val="C00000"/>
              </a:solidFill>
              <a:latin typeface="Calibri"/>
              <a:ea typeface="Calibri"/>
              <a:cs typeface="Calibri"/>
            </a:rPr>
            <a:t>9</a:t>
          </a:r>
        </a:p>
        <a:p>
          <a:pPr algn="r"/>
          <a:r>
            <a:rPr lang="en-US" sz="1100" b="0" i="0" u="none" strike="noStrike">
              <a:solidFill>
                <a:srgbClr val="C00000"/>
              </a:solidFill>
              <a:latin typeface="Calibri"/>
              <a:ea typeface="Calibri"/>
              <a:cs typeface="Calibri"/>
            </a:rPr>
            <a:t>Races</a:t>
          </a:r>
        </a:p>
      </xdr:txBody>
    </xdr:sp>
    <xdr:clientData/>
  </xdr:twoCellAnchor>
  <xdr:twoCellAnchor>
    <xdr:from>
      <xdr:col>19</xdr:col>
      <xdr:colOff>626925</xdr:colOff>
      <xdr:row>4</xdr:row>
      <xdr:rowOff>107382</xdr:rowOff>
    </xdr:from>
    <xdr:to>
      <xdr:col>23</xdr:col>
      <xdr:colOff>482607</xdr:colOff>
      <xdr:row>10</xdr:row>
      <xdr:rowOff>111802</xdr:rowOff>
    </xdr:to>
    <xdr:sp macro="" textlink="'Pivot Tables'!N7">
      <xdr:nvSpPr>
        <xdr:cNvPr id="17" name="Rectangle: Rounded Corners 16">
          <a:extLst>
            <a:ext uri="{FF2B5EF4-FFF2-40B4-BE49-F238E27FC236}">
              <a16:creationId xmlns:a16="http://schemas.microsoft.com/office/drawing/2014/main" id="{10D713EA-793D-4E95-A8EE-FAB70D6C6D18}"/>
            </a:ext>
          </a:extLst>
        </xdr:cNvPr>
        <xdr:cNvSpPr/>
      </xdr:nvSpPr>
      <xdr:spPr>
        <a:xfrm>
          <a:off x="12915351" y="971688"/>
          <a:ext cx="2442719" cy="1103910"/>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i="0" u="none" strike="noStrike">
              <a:solidFill>
                <a:srgbClr val="C00000"/>
              </a:solidFill>
              <a:latin typeface="Calibri"/>
              <a:ea typeface="Calibri"/>
              <a:cs typeface="Calibri"/>
            </a:rPr>
            <a:t>POLE WIN CONVERSION</a:t>
          </a:r>
        </a:p>
        <a:p>
          <a:pPr algn="l"/>
          <a:endParaRPr lang="en-US" sz="800" b="0" i="0" u="none" strike="noStrike">
            <a:solidFill>
              <a:srgbClr val="C00000"/>
            </a:solidFill>
            <a:latin typeface="Calibri"/>
            <a:ea typeface="Calibri"/>
            <a:cs typeface="Calibri"/>
          </a:endParaRPr>
        </a:p>
        <a:p>
          <a:pPr algn="r"/>
          <a:fld id="{AAE136C2-2ED0-46D8-A3FF-D0445412D3F9}" type="TxLink">
            <a:rPr lang="en-US" sz="2000" b="0" i="0" u="none" strike="noStrike">
              <a:solidFill>
                <a:srgbClr val="C00000"/>
              </a:solidFill>
              <a:latin typeface="Calibri"/>
              <a:ea typeface="Calibri"/>
              <a:cs typeface="Calibri"/>
            </a:rPr>
            <a:pPr algn="r"/>
            <a:t>66.67%</a:t>
          </a:fld>
          <a:endParaRPr lang="en-US" sz="2000" b="0" i="0" u="none" strike="noStrike">
            <a:solidFill>
              <a:srgbClr val="C00000"/>
            </a:solidFill>
            <a:latin typeface="Calibri"/>
            <a:ea typeface="Calibri"/>
            <a:cs typeface="Calibri"/>
          </a:endParaRPr>
        </a:p>
        <a:p>
          <a:pPr algn="r"/>
          <a:r>
            <a:rPr lang="en-IN" sz="1100">
              <a:solidFill>
                <a:srgbClr val="C00000"/>
              </a:solidFill>
            </a:rPr>
            <a:t>6/9 Pole Wins</a:t>
          </a:r>
        </a:p>
      </xdr:txBody>
    </xdr:sp>
    <xdr:clientData/>
  </xdr:twoCellAnchor>
  <xdr:twoCellAnchor>
    <xdr:from>
      <xdr:col>24</xdr:col>
      <xdr:colOff>11140</xdr:colOff>
      <xdr:row>0</xdr:row>
      <xdr:rowOff>67150</xdr:rowOff>
    </xdr:from>
    <xdr:to>
      <xdr:col>27</xdr:col>
      <xdr:colOff>420549</xdr:colOff>
      <xdr:row>75</xdr:row>
      <xdr:rowOff>180202</xdr:rowOff>
    </xdr:to>
    <xdr:sp macro="" textlink="">
      <xdr:nvSpPr>
        <xdr:cNvPr id="18" name="Rectangle: Rounded Corners 17">
          <a:extLst>
            <a:ext uri="{FF2B5EF4-FFF2-40B4-BE49-F238E27FC236}">
              <a16:creationId xmlns:a16="http://schemas.microsoft.com/office/drawing/2014/main" id="{C1B74D36-748E-73A9-BE32-EF1578BA2A51}"/>
            </a:ext>
          </a:extLst>
        </xdr:cNvPr>
        <xdr:cNvSpPr/>
      </xdr:nvSpPr>
      <xdr:spPr>
        <a:xfrm>
          <a:off x="15565367" y="67150"/>
          <a:ext cx="2353687" cy="13880114"/>
        </a:xfrm>
        <a:prstGeom prst="roundRect">
          <a:avLst>
            <a:gd name="adj" fmla="val 363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11</xdr:row>
      <xdr:rowOff>6349</xdr:rowOff>
    </xdr:from>
    <xdr:to>
      <xdr:col>12</xdr:col>
      <xdr:colOff>101600</xdr:colOff>
      <xdr:row>29</xdr:row>
      <xdr:rowOff>12700</xdr:rowOff>
    </xdr:to>
    <xdr:sp macro="" textlink="">
      <xdr:nvSpPr>
        <xdr:cNvPr id="27" name="Rectangle: Rounded Corners 26">
          <a:extLst>
            <a:ext uri="{FF2B5EF4-FFF2-40B4-BE49-F238E27FC236}">
              <a16:creationId xmlns:a16="http://schemas.microsoft.com/office/drawing/2014/main" id="{F18C1FD4-627E-CE40-6AF6-6BD98C0595D4}"/>
            </a:ext>
          </a:extLst>
        </xdr:cNvPr>
        <xdr:cNvSpPr/>
      </xdr:nvSpPr>
      <xdr:spPr>
        <a:xfrm>
          <a:off x="127000" y="2165349"/>
          <a:ext cx="7747000" cy="3321051"/>
        </a:xfrm>
        <a:prstGeom prst="roundRect">
          <a:avLst>
            <a:gd name="adj" fmla="val 1593"/>
          </a:avLst>
        </a:prstGeom>
        <a:solidFill>
          <a:schemeClr val="bg2">
            <a:lumMod val="95000"/>
            <a:lumOff val="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215900</xdr:colOff>
      <xdr:row>11</xdr:row>
      <xdr:rowOff>88928</xdr:rowOff>
    </xdr:from>
    <xdr:to>
      <xdr:col>12</xdr:col>
      <xdr:colOff>0</xdr:colOff>
      <xdr:row>28</xdr:row>
      <xdr:rowOff>87435</xdr:rowOff>
    </xdr:to>
    <xdr:graphicFrame macro="">
      <xdr:nvGraphicFramePr>
        <xdr:cNvPr id="26" name="Chart 25">
          <a:extLst>
            <a:ext uri="{FF2B5EF4-FFF2-40B4-BE49-F238E27FC236}">
              <a16:creationId xmlns:a16="http://schemas.microsoft.com/office/drawing/2014/main" id="{2645D989-57AA-4DF2-8CF6-C865E2BBF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191422</xdr:colOff>
      <xdr:row>11</xdr:row>
      <xdr:rowOff>18188</xdr:rowOff>
    </xdr:from>
    <xdr:to>
      <xdr:col>23</xdr:col>
      <xdr:colOff>498231</xdr:colOff>
      <xdr:row>29</xdr:row>
      <xdr:rowOff>24538</xdr:rowOff>
    </xdr:to>
    <xdr:sp macro="" textlink="">
      <xdr:nvSpPr>
        <xdr:cNvPr id="29" name="Rectangle: Rounded Corners 28">
          <a:extLst>
            <a:ext uri="{FF2B5EF4-FFF2-40B4-BE49-F238E27FC236}">
              <a16:creationId xmlns:a16="http://schemas.microsoft.com/office/drawing/2014/main" id="{AF5B9009-39B8-4E3D-BC2E-CC937E5DA835}"/>
            </a:ext>
          </a:extLst>
        </xdr:cNvPr>
        <xdr:cNvSpPr/>
      </xdr:nvSpPr>
      <xdr:spPr>
        <a:xfrm>
          <a:off x="7928653" y="2172303"/>
          <a:ext cx="7399270" cy="3303466"/>
        </a:xfrm>
        <a:prstGeom prst="roundRect">
          <a:avLst>
            <a:gd name="adj" fmla="val 1593"/>
          </a:avLst>
        </a:prstGeom>
        <a:solidFill>
          <a:schemeClr val="bg2">
            <a:lumMod val="95000"/>
            <a:lumOff val="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285697</xdr:colOff>
      <xdr:row>11</xdr:row>
      <xdr:rowOff>70937</xdr:rowOff>
    </xdr:from>
    <xdr:to>
      <xdr:col>23</xdr:col>
      <xdr:colOff>395654</xdr:colOff>
      <xdr:row>28</xdr:row>
      <xdr:rowOff>102575</xdr:rowOff>
    </xdr:to>
    <xdr:graphicFrame macro="">
      <xdr:nvGraphicFramePr>
        <xdr:cNvPr id="28" name="Chart 27">
          <a:extLst>
            <a:ext uri="{FF2B5EF4-FFF2-40B4-BE49-F238E27FC236}">
              <a16:creationId xmlns:a16="http://schemas.microsoft.com/office/drawing/2014/main" id="{6F0DEC32-0296-4D3B-929D-782668EBB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112292</xdr:colOff>
      <xdr:row>29</xdr:row>
      <xdr:rowOff>130559</xdr:rowOff>
    </xdr:from>
    <xdr:to>
      <xdr:col>8</xdr:col>
      <xdr:colOff>124557</xdr:colOff>
      <xdr:row>52</xdr:row>
      <xdr:rowOff>65942</xdr:rowOff>
    </xdr:to>
    <xdr:sp macro="" textlink="">
      <xdr:nvSpPr>
        <xdr:cNvPr id="31" name="Rectangle: Rounded Corners 30">
          <a:extLst>
            <a:ext uri="{FF2B5EF4-FFF2-40B4-BE49-F238E27FC236}">
              <a16:creationId xmlns:a16="http://schemas.microsoft.com/office/drawing/2014/main" id="{D477F431-8748-4695-8DBF-384AABB521FC}"/>
            </a:ext>
          </a:extLst>
        </xdr:cNvPr>
        <xdr:cNvSpPr/>
      </xdr:nvSpPr>
      <xdr:spPr>
        <a:xfrm>
          <a:off x="112292" y="5581790"/>
          <a:ext cx="5170419" cy="4148364"/>
        </a:xfrm>
        <a:prstGeom prst="roundRect">
          <a:avLst>
            <a:gd name="adj" fmla="val 1593"/>
          </a:avLst>
        </a:prstGeom>
        <a:solidFill>
          <a:schemeClr val="bg2">
            <a:lumMod val="95000"/>
            <a:lumOff val="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197828</xdr:colOff>
      <xdr:row>30</xdr:row>
      <xdr:rowOff>43960</xdr:rowOff>
    </xdr:from>
    <xdr:to>
      <xdr:col>8</xdr:col>
      <xdr:colOff>7327</xdr:colOff>
      <xdr:row>51</xdr:row>
      <xdr:rowOff>117231</xdr:rowOff>
    </xdr:to>
    <xdr:graphicFrame macro="">
      <xdr:nvGraphicFramePr>
        <xdr:cNvPr id="30" name="Chart 29">
          <a:extLst>
            <a:ext uri="{FF2B5EF4-FFF2-40B4-BE49-F238E27FC236}">
              <a16:creationId xmlns:a16="http://schemas.microsoft.com/office/drawing/2014/main" id="{9D405AA4-8E56-401C-9490-D8134CDB2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253903</xdr:colOff>
      <xdr:row>29</xdr:row>
      <xdr:rowOff>139782</xdr:rowOff>
    </xdr:from>
    <xdr:to>
      <xdr:col>23</xdr:col>
      <xdr:colOff>491369</xdr:colOff>
      <xdr:row>52</xdr:row>
      <xdr:rowOff>66574</xdr:rowOff>
    </xdr:to>
    <xdr:sp macro="" textlink="">
      <xdr:nvSpPr>
        <xdr:cNvPr id="33" name="Rectangle: Rounded Corners 32">
          <a:extLst>
            <a:ext uri="{FF2B5EF4-FFF2-40B4-BE49-F238E27FC236}">
              <a16:creationId xmlns:a16="http://schemas.microsoft.com/office/drawing/2014/main" id="{B467604D-0DD9-42E4-B983-14BF88B3A154}"/>
            </a:ext>
          </a:extLst>
        </xdr:cNvPr>
        <xdr:cNvSpPr/>
      </xdr:nvSpPr>
      <xdr:spPr>
        <a:xfrm>
          <a:off x="5454855" y="5544842"/>
          <a:ext cx="9989252" cy="4099649"/>
        </a:xfrm>
        <a:prstGeom prst="roundRect">
          <a:avLst>
            <a:gd name="adj" fmla="val 1593"/>
          </a:avLst>
        </a:prstGeom>
        <a:solidFill>
          <a:schemeClr val="bg2">
            <a:lumMod val="95000"/>
            <a:lumOff val="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356733</xdr:colOff>
      <xdr:row>30</xdr:row>
      <xdr:rowOff>40614</xdr:rowOff>
    </xdr:from>
    <xdr:to>
      <xdr:col>23</xdr:col>
      <xdr:colOff>370417</xdr:colOff>
      <xdr:row>51</xdr:row>
      <xdr:rowOff>133148</xdr:rowOff>
    </xdr:to>
    <xdr:graphicFrame macro="">
      <xdr:nvGraphicFramePr>
        <xdr:cNvPr id="32" name="Chart 31">
          <a:extLst>
            <a:ext uri="{FF2B5EF4-FFF2-40B4-BE49-F238E27FC236}">
              <a16:creationId xmlns:a16="http://schemas.microsoft.com/office/drawing/2014/main" id="{F6C23B2D-EA28-4247-8E5B-E710DCBE7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481245</xdr:colOff>
      <xdr:row>52</xdr:row>
      <xdr:rowOff>160205</xdr:rowOff>
    </xdr:from>
    <xdr:to>
      <xdr:col>23</xdr:col>
      <xdr:colOff>493510</xdr:colOff>
      <xdr:row>75</xdr:row>
      <xdr:rowOff>96992</xdr:rowOff>
    </xdr:to>
    <xdr:sp macro="" textlink="">
      <xdr:nvSpPr>
        <xdr:cNvPr id="34" name="Rectangle: Rounded Corners 33">
          <a:extLst>
            <a:ext uri="{FF2B5EF4-FFF2-40B4-BE49-F238E27FC236}">
              <a16:creationId xmlns:a16="http://schemas.microsoft.com/office/drawing/2014/main" id="{E752DA28-4D76-472C-83DB-455B61BBE60F}"/>
            </a:ext>
          </a:extLst>
        </xdr:cNvPr>
        <xdr:cNvSpPr/>
      </xdr:nvSpPr>
      <xdr:spPr>
        <a:xfrm>
          <a:off x="10201429" y="9646168"/>
          <a:ext cx="5196364" cy="4066890"/>
        </a:xfrm>
        <a:prstGeom prst="roundRect">
          <a:avLst>
            <a:gd name="adj" fmla="val 1593"/>
          </a:avLst>
        </a:prstGeom>
        <a:solidFill>
          <a:schemeClr val="bg2">
            <a:lumMod val="95000"/>
            <a:lumOff val="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584521</xdr:colOff>
      <xdr:row>53</xdr:row>
      <xdr:rowOff>37615</xdr:rowOff>
    </xdr:from>
    <xdr:to>
      <xdr:col>23</xdr:col>
      <xdr:colOff>392697</xdr:colOff>
      <xdr:row>74</xdr:row>
      <xdr:rowOff>183814</xdr:rowOff>
    </xdr:to>
    <xdr:graphicFrame macro="">
      <xdr:nvGraphicFramePr>
        <xdr:cNvPr id="36" name="Chart 35">
          <a:extLst>
            <a:ext uri="{FF2B5EF4-FFF2-40B4-BE49-F238E27FC236}">
              <a16:creationId xmlns:a16="http://schemas.microsoft.com/office/drawing/2014/main" id="{3682B2A6-68D6-4756-8AFC-2C17EBDD8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118117</xdr:colOff>
      <xdr:row>52</xdr:row>
      <xdr:rowOff>148714</xdr:rowOff>
    </xdr:from>
    <xdr:to>
      <xdr:col>15</xdr:col>
      <xdr:colOff>409574</xdr:colOff>
      <xdr:row>75</xdr:row>
      <xdr:rowOff>74739</xdr:rowOff>
    </xdr:to>
    <xdr:sp macro="" textlink="">
      <xdr:nvSpPr>
        <xdr:cNvPr id="37" name="Rectangle: Rounded Corners 36">
          <a:extLst>
            <a:ext uri="{FF2B5EF4-FFF2-40B4-BE49-F238E27FC236}">
              <a16:creationId xmlns:a16="http://schemas.microsoft.com/office/drawing/2014/main" id="{B9B92B77-3D81-4D92-9647-48F176B5AA4C}"/>
            </a:ext>
          </a:extLst>
        </xdr:cNvPr>
        <xdr:cNvSpPr/>
      </xdr:nvSpPr>
      <xdr:spPr>
        <a:xfrm>
          <a:off x="118117" y="9702289"/>
          <a:ext cx="10006957" cy="4088450"/>
        </a:xfrm>
        <a:prstGeom prst="roundRect">
          <a:avLst>
            <a:gd name="adj" fmla="val 1593"/>
          </a:avLst>
        </a:prstGeom>
        <a:solidFill>
          <a:schemeClr val="bg2">
            <a:lumMod val="95000"/>
            <a:lumOff val="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204609</xdr:colOff>
      <xdr:row>53</xdr:row>
      <xdr:rowOff>38508</xdr:rowOff>
    </xdr:from>
    <xdr:to>
      <xdr:col>15</xdr:col>
      <xdr:colOff>301158</xdr:colOff>
      <xdr:row>74</xdr:row>
      <xdr:rowOff>168088</xdr:rowOff>
    </xdr:to>
    <xdr:graphicFrame macro="">
      <xdr:nvGraphicFramePr>
        <xdr:cNvPr id="38" name="Chart 37">
          <a:extLst>
            <a:ext uri="{FF2B5EF4-FFF2-40B4-BE49-F238E27FC236}">
              <a16:creationId xmlns:a16="http://schemas.microsoft.com/office/drawing/2014/main" id="{747C7977-9E63-4F07-B65E-098BC32DC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76372</xdr:colOff>
      <xdr:row>0</xdr:row>
      <xdr:rowOff>126213</xdr:rowOff>
    </xdr:from>
    <xdr:to>
      <xdr:col>27</xdr:col>
      <xdr:colOff>358415</xdr:colOff>
      <xdr:row>2</xdr:row>
      <xdr:rowOff>44097</xdr:rowOff>
    </xdr:to>
    <xdr:sp macro="" textlink="">
      <xdr:nvSpPr>
        <xdr:cNvPr id="39" name="Rectangle: Rounded Corners 38">
          <a:extLst>
            <a:ext uri="{FF2B5EF4-FFF2-40B4-BE49-F238E27FC236}">
              <a16:creationId xmlns:a16="http://schemas.microsoft.com/office/drawing/2014/main" id="{FE372583-DC38-426B-A70A-84A892C9D7DD}"/>
            </a:ext>
          </a:extLst>
        </xdr:cNvPr>
        <xdr:cNvSpPr/>
      </xdr:nvSpPr>
      <xdr:spPr>
        <a:xfrm>
          <a:off x="15598594" y="126213"/>
          <a:ext cx="2222321" cy="432352"/>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a:solidFill>
                <a:srgbClr val="C00000"/>
              </a:solidFill>
              <a:latin typeface="Aptos" panose="020B0004020202020204" pitchFamily="34" charset="0"/>
            </a:rPr>
            <a:t>SLICERS ( FILTERS </a:t>
          </a:r>
          <a:r>
            <a:rPr lang="en-IN" sz="1600">
              <a:solidFill>
                <a:srgbClr val="C00000"/>
              </a:solidFill>
              <a:latin typeface="+mn-lt"/>
            </a:rPr>
            <a:t>)</a:t>
          </a:r>
          <a:endParaRPr lang="en-IN" sz="1600">
            <a:solidFill>
              <a:srgbClr val="C00000"/>
            </a:solidFill>
          </a:endParaRPr>
        </a:p>
      </xdr:txBody>
    </xdr:sp>
    <xdr:clientData/>
  </xdr:twoCellAnchor>
  <xdr:twoCellAnchor editAs="oneCell">
    <xdr:from>
      <xdr:col>24</xdr:col>
      <xdr:colOff>142384</xdr:colOff>
      <xdr:row>0</xdr:row>
      <xdr:rowOff>157114</xdr:rowOff>
    </xdr:from>
    <xdr:to>
      <xdr:col>24</xdr:col>
      <xdr:colOff>456611</xdr:colOff>
      <xdr:row>1</xdr:row>
      <xdr:rowOff>289678</xdr:rowOff>
    </xdr:to>
    <xdr:pic>
      <xdr:nvPicPr>
        <xdr:cNvPr id="41" name="Graphic 40" descr="Magnifying glass with solid fill">
          <a:extLst>
            <a:ext uri="{FF2B5EF4-FFF2-40B4-BE49-F238E27FC236}">
              <a16:creationId xmlns:a16="http://schemas.microsoft.com/office/drawing/2014/main" id="{2D393AB6-6C94-7003-6307-16B48637766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696611" y="157114"/>
          <a:ext cx="314227" cy="314227"/>
        </a:xfrm>
        <a:prstGeom prst="rect">
          <a:avLst/>
        </a:prstGeom>
      </xdr:spPr>
    </xdr:pic>
    <xdr:clientData/>
  </xdr:twoCellAnchor>
  <xdr:twoCellAnchor editAs="oneCell">
    <xdr:from>
      <xdr:col>24</xdr:col>
      <xdr:colOff>90102</xdr:colOff>
      <xdr:row>2</xdr:row>
      <xdr:rowOff>137298</xdr:rowOff>
    </xdr:from>
    <xdr:to>
      <xdr:col>27</xdr:col>
      <xdr:colOff>308919</xdr:colOff>
      <xdr:row>16</xdr:row>
      <xdr:rowOff>151661</xdr:rowOff>
    </xdr:to>
    <mc:AlternateContent xmlns:mc="http://schemas.openxmlformats.org/markup-compatibility/2006" xmlns:a14="http://schemas.microsoft.com/office/drawing/2010/main">
      <mc:Choice Requires="a14">
        <xdr:graphicFrame macro="">
          <xdr:nvGraphicFramePr>
            <xdr:cNvPr id="42" name="Driver 1">
              <a:extLst>
                <a:ext uri="{FF2B5EF4-FFF2-40B4-BE49-F238E27FC236}">
                  <a16:creationId xmlns:a16="http://schemas.microsoft.com/office/drawing/2014/main" id="{4D58E580-89A8-4DA8-8272-DD5F541CF478}"/>
                </a:ext>
              </a:extLst>
            </xdr:cNvPr>
            <xdr:cNvGraphicFramePr/>
          </xdr:nvGraphicFramePr>
          <xdr:xfrm>
            <a:off x="0" y="0"/>
            <a:ext cx="0" cy="0"/>
          </xdr:xfrm>
          <a:graphic>
            <a:graphicData uri="http://schemas.microsoft.com/office/drawing/2010/slicer">
              <sle:slicer xmlns:sle="http://schemas.microsoft.com/office/drawing/2010/slicer" name="Driver 1"/>
            </a:graphicData>
          </a:graphic>
        </xdr:graphicFrame>
      </mc:Choice>
      <mc:Fallback xmlns="">
        <xdr:sp macro="" textlink="">
          <xdr:nvSpPr>
            <xdr:cNvPr id="0" name=""/>
            <xdr:cNvSpPr>
              <a:spLocks noTextEdit="1"/>
            </xdr:cNvSpPr>
          </xdr:nvSpPr>
          <xdr:spPr>
            <a:xfrm>
              <a:off x="15690507" y="652163"/>
              <a:ext cx="2168869" cy="2530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94950</xdr:colOff>
      <xdr:row>17</xdr:row>
      <xdr:rowOff>12873</xdr:rowOff>
    </xdr:from>
    <xdr:to>
      <xdr:col>27</xdr:col>
      <xdr:colOff>304628</xdr:colOff>
      <xdr:row>32</xdr:row>
      <xdr:rowOff>37105</xdr:rowOff>
    </xdr:to>
    <mc:AlternateContent xmlns:mc="http://schemas.openxmlformats.org/markup-compatibility/2006" xmlns:a14="http://schemas.microsoft.com/office/drawing/2010/main">
      <mc:Choice Requires="a14">
        <xdr:graphicFrame macro="">
          <xdr:nvGraphicFramePr>
            <xdr:cNvPr id="43" name="Team 1">
              <a:extLst>
                <a:ext uri="{FF2B5EF4-FFF2-40B4-BE49-F238E27FC236}">
                  <a16:creationId xmlns:a16="http://schemas.microsoft.com/office/drawing/2014/main" id="{239B78B2-1FBE-4129-8CB0-F0218A3A482A}"/>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15695355" y="3224343"/>
              <a:ext cx="2159730" cy="2727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107263</xdr:colOff>
      <xdr:row>32</xdr:row>
      <xdr:rowOff>72940</xdr:rowOff>
    </xdr:from>
    <xdr:to>
      <xdr:col>27</xdr:col>
      <xdr:colOff>300337</xdr:colOff>
      <xdr:row>46</xdr:row>
      <xdr:rowOff>74227</xdr:rowOff>
    </xdr:to>
    <mc:AlternateContent xmlns:mc="http://schemas.openxmlformats.org/markup-compatibility/2006" xmlns:a14="http://schemas.microsoft.com/office/drawing/2010/main">
      <mc:Choice Requires="a14">
        <xdr:graphicFrame macro="">
          <xdr:nvGraphicFramePr>
            <xdr:cNvPr id="44" name="Track 1">
              <a:extLst>
                <a:ext uri="{FF2B5EF4-FFF2-40B4-BE49-F238E27FC236}">
                  <a16:creationId xmlns:a16="http://schemas.microsoft.com/office/drawing/2014/main" id="{B8BC8F16-AC49-4B65-AA92-A8B32A723AA6}"/>
                </a:ext>
              </a:extLst>
            </xdr:cNvPr>
            <xdr:cNvGraphicFramePr/>
          </xdr:nvGraphicFramePr>
          <xdr:xfrm>
            <a:off x="0" y="0"/>
            <a:ext cx="0" cy="0"/>
          </xdr:xfrm>
          <a:graphic>
            <a:graphicData uri="http://schemas.microsoft.com/office/drawing/2010/slicer">
              <sle:slicer xmlns:sle="http://schemas.microsoft.com/office/drawing/2010/slicer" name="Track 1"/>
            </a:graphicData>
          </a:graphic>
        </xdr:graphicFrame>
      </mc:Choice>
      <mc:Fallback xmlns="">
        <xdr:sp macro="" textlink="">
          <xdr:nvSpPr>
            <xdr:cNvPr id="0" name=""/>
            <xdr:cNvSpPr>
              <a:spLocks noTextEdit="1"/>
            </xdr:cNvSpPr>
          </xdr:nvSpPr>
          <xdr:spPr>
            <a:xfrm>
              <a:off x="15707668" y="5987451"/>
              <a:ext cx="214312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115843</xdr:colOff>
      <xdr:row>46</xdr:row>
      <xdr:rowOff>120134</xdr:rowOff>
    </xdr:from>
    <xdr:to>
      <xdr:col>27</xdr:col>
      <xdr:colOff>300337</xdr:colOff>
      <xdr:row>60</xdr:row>
      <xdr:rowOff>121421</xdr:rowOff>
    </xdr:to>
    <mc:AlternateContent xmlns:mc="http://schemas.openxmlformats.org/markup-compatibility/2006" xmlns:a14="http://schemas.microsoft.com/office/drawing/2010/main">
      <mc:Choice Requires="a14">
        <xdr:graphicFrame macro="">
          <xdr:nvGraphicFramePr>
            <xdr:cNvPr id="45" name="Season 1">
              <a:extLst>
                <a:ext uri="{FF2B5EF4-FFF2-40B4-BE49-F238E27FC236}">
                  <a16:creationId xmlns:a16="http://schemas.microsoft.com/office/drawing/2014/main" id="{E2BFBBB5-CBDE-465A-9553-377A9B04CDBD}"/>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5716248" y="8557483"/>
              <a:ext cx="2134546" cy="2524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240030</xdr:colOff>
      <xdr:row>0</xdr:row>
      <xdr:rowOff>103122</xdr:rowOff>
    </xdr:from>
    <xdr:to>
      <xdr:col>23</xdr:col>
      <xdr:colOff>557127</xdr:colOff>
      <xdr:row>3</xdr:row>
      <xdr:rowOff>76022</xdr:rowOff>
    </xdr:to>
    <xdr:pic>
      <xdr:nvPicPr>
        <xdr:cNvPr id="50" name="Picture 49">
          <a:extLst>
            <a:ext uri="{FF2B5EF4-FFF2-40B4-BE49-F238E27FC236}">
              <a16:creationId xmlns:a16="http://schemas.microsoft.com/office/drawing/2014/main" id="{AB222988-770F-77E6-8363-473CBF85B5A2}"/>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169" t="44886" r="-169" b="41619"/>
        <a:stretch>
          <a:fillRect/>
        </a:stretch>
      </xdr:blipFill>
      <xdr:spPr>
        <a:xfrm>
          <a:off x="6717030" y="103122"/>
          <a:ext cx="8737197" cy="658700"/>
        </a:xfrm>
        <a:prstGeom prst="rect">
          <a:avLst/>
        </a:prstGeom>
      </xdr:spPr>
    </xdr:pic>
    <xdr:clientData/>
  </xdr:twoCellAnchor>
  <xdr:twoCellAnchor>
    <xdr:from>
      <xdr:col>0</xdr:col>
      <xdr:colOff>124322</xdr:colOff>
      <xdr:row>4</xdr:row>
      <xdr:rowOff>98040</xdr:rowOff>
    </xdr:from>
    <xdr:to>
      <xdr:col>3</xdr:col>
      <xdr:colOff>631336</xdr:colOff>
      <xdr:row>10</xdr:row>
      <xdr:rowOff>98042</xdr:rowOff>
    </xdr:to>
    <xdr:sp macro="" textlink="'Pivot Tables'!N2">
      <xdr:nvSpPr>
        <xdr:cNvPr id="2" name="Rectangle: Rounded Corners 1">
          <a:extLst>
            <a:ext uri="{FF2B5EF4-FFF2-40B4-BE49-F238E27FC236}">
              <a16:creationId xmlns:a16="http://schemas.microsoft.com/office/drawing/2014/main" id="{2AAC5944-A3D1-4ECF-ABC4-91B6C51FE204}"/>
            </a:ext>
          </a:extLst>
        </xdr:cNvPr>
        <xdr:cNvSpPr/>
      </xdr:nvSpPr>
      <xdr:spPr>
        <a:xfrm>
          <a:off x="124322" y="960439"/>
          <a:ext cx="2457065" cy="1087654"/>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900" b="0" i="0" u="none" strike="noStrike">
              <a:solidFill>
                <a:srgbClr val="C00000"/>
              </a:solidFill>
              <a:latin typeface="Aptos" panose="020B0004020202020204" pitchFamily="34" charset="0"/>
              <a:ea typeface="Calibri"/>
              <a:cs typeface="Calibri"/>
            </a:rPr>
            <a:t>CHAMPIONSHIP</a:t>
          </a:r>
          <a:r>
            <a:rPr lang="en-US" sz="1200" b="0" i="0" u="none" strike="noStrike">
              <a:solidFill>
                <a:srgbClr val="C00000"/>
              </a:solidFill>
              <a:latin typeface="Aptos" panose="020B0004020202020204" pitchFamily="34" charset="0"/>
              <a:ea typeface="Calibri"/>
              <a:cs typeface="Calibri"/>
            </a:rPr>
            <a:t> </a:t>
          </a:r>
          <a:r>
            <a:rPr lang="en-US" sz="900" b="0" i="0" u="none" strike="noStrike">
              <a:solidFill>
                <a:srgbClr val="C00000"/>
              </a:solidFill>
              <a:latin typeface="Aptos" panose="020B0004020202020204" pitchFamily="34" charset="0"/>
              <a:ea typeface="Calibri"/>
              <a:cs typeface="Calibri"/>
            </a:rPr>
            <a:t>LEADER</a:t>
          </a:r>
        </a:p>
        <a:p>
          <a:pPr algn="r"/>
          <a:endParaRPr lang="en-US" sz="800" b="0" i="0" u="none" strike="noStrike">
            <a:solidFill>
              <a:srgbClr val="C00000"/>
            </a:solidFill>
            <a:latin typeface="Aptos" panose="020B0004020202020204" pitchFamily="34" charset="0"/>
            <a:ea typeface="Calibri"/>
            <a:cs typeface="Calibri"/>
          </a:endParaRPr>
        </a:p>
        <a:p>
          <a:pPr algn="r"/>
          <a:fld id="{5E02F747-192C-4563-851D-5C29F6A660F5}" type="TxLink">
            <a:rPr lang="en-US" sz="1800" b="0" i="0" u="none" strike="noStrike">
              <a:solidFill>
                <a:srgbClr val="C00000"/>
              </a:solidFill>
              <a:latin typeface="Aptos" panose="020B0004020202020204" pitchFamily="34" charset="0"/>
              <a:ea typeface="Calibri"/>
              <a:cs typeface="Calibri"/>
            </a:rPr>
            <a:pPr algn="r"/>
            <a:t>Oscar Piastri</a:t>
          </a:fld>
          <a:endParaRPr lang="en-US" sz="1800" b="0" i="0" u="none" strike="noStrike">
            <a:solidFill>
              <a:srgbClr val="C00000"/>
            </a:solidFill>
            <a:latin typeface="Aptos" panose="020B0004020202020204" pitchFamily="34" charset="0"/>
            <a:ea typeface="Calibri"/>
            <a:cs typeface="Calibri"/>
          </a:endParaRPr>
        </a:p>
        <a:p>
          <a:pPr algn="r"/>
          <a:r>
            <a:rPr lang="en-IN" sz="1000">
              <a:solidFill>
                <a:srgbClr val="C00000"/>
              </a:solidFill>
              <a:latin typeface="Aptos" panose="020B0004020202020204" pitchFamily="34" charset="0"/>
            </a:rPr>
            <a:t>McLaren</a:t>
          </a:r>
          <a:r>
            <a:rPr lang="en-IN" sz="1200" baseline="0">
              <a:solidFill>
                <a:srgbClr val="C00000"/>
              </a:solidFill>
              <a:latin typeface="Aptos" panose="020B0004020202020204" pitchFamily="34" charset="0"/>
            </a:rPr>
            <a:t> Mercedes</a:t>
          </a:r>
        </a:p>
        <a:p>
          <a:pPr algn="r"/>
          <a:endParaRPr lang="en-IN" sz="1200">
            <a:solidFill>
              <a:srgbClr val="C00000"/>
            </a:solidFill>
            <a:latin typeface="Aptos" panose="020B0004020202020204" pitchFamily="34" charset="0"/>
          </a:endParaRPr>
        </a:p>
        <a:p>
          <a:pPr algn="r"/>
          <a:endParaRPr lang="en-IN" sz="1200">
            <a:solidFill>
              <a:srgbClr val="C00000"/>
            </a:solidFill>
            <a:latin typeface="Aptos" panose="020B0004020202020204" pitchFamily="34" charset="0"/>
          </a:endParaRPr>
        </a:p>
      </xdr:txBody>
    </xdr:sp>
    <xdr:clientData/>
  </xdr:twoCellAnchor>
  <xdr:twoCellAnchor editAs="oneCell">
    <xdr:from>
      <xdr:col>0</xdr:col>
      <xdr:colOff>241994</xdr:colOff>
      <xdr:row>5</xdr:row>
      <xdr:rowOff>45268</xdr:rowOff>
    </xdr:from>
    <xdr:to>
      <xdr:col>1</xdr:col>
      <xdr:colOff>379880</xdr:colOff>
      <xdr:row>9</xdr:row>
      <xdr:rowOff>109409</xdr:rowOff>
    </xdr:to>
    <xdr:pic>
      <xdr:nvPicPr>
        <xdr:cNvPr id="4" name="Graphic 3" descr="Trophy with solid fill">
          <a:extLst>
            <a:ext uri="{FF2B5EF4-FFF2-40B4-BE49-F238E27FC236}">
              <a16:creationId xmlns:a16="http://schemas.microsoft.com/office/drawing/2014/main" id="{9AB02E42-1C20-1BA8-9B8E-A2D354B7252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1994" y="1094306"/>
          <a:ext cx="787904" cy="784952"/>
        </a:xfrm>
        <a:prstGeom prst="rect">
          <a:avLst/>
        </a:prstGeom>
      </xdr:spPr>
    </xdr:pic>
    <xdr:clientData/>
  </xdr:twoCellAnchor>
  <xdr:twoCellAnchor>
    <xdr:from>
      <xdr:col>4</xdr:col>
      <xdr:colOff>71213</xdr:colOff>
      <xdr:row>4</xdr:row>
      <xdr:rowOff>89334</xdr:rowOff>
    </xdr:from>
    <xdr:to>
      <xdr:col>7</xdr:col>
      <xdr:colOff>579000</xdr:colOff>
      <xdr:row>10</xdr:row>
      <xdr:rowOff>93161</xdr:rowOff>
    </xdr:to>
    <xdr:sp macro="" textlink="'Pivot Tables'!N3">
      <xdr:nvSpPr>
        <xdr:cNvPr id="3" name="Rectangle: Rounded Corners 2">
          <a:extLst>
            <a:ext uri="{FF2B5EF4-FFF2-40B4-BE49-F238E27FC236}">
              <a16:creationId xmlns:a16="http://schemas.microsoft.com/office/drawing/2014/main" id="{83A8EE50-01C0-4E29-9C33-062E9D3BBE7D}"/>
            </a:ext>
          </a:extLst>
        </xdr:cNvPr>
        <xdr:cNvSpPr/>
      </xdr:nvSpPr>
      <xdr:spPr>
        <a:xfrm>
          <a:off x="2671281" y="951733"/>
          <a:ext cx="2457838" cy="1091479"/>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0" i="0" u="none" strike="noStrike">
              <a:solidFill>
                <a:srgbClr val="C00000"/>
              </a:solidFill>
              <a:latin typeface="Calibri"/>
              <a:ea typeface="Calibri"/>
              <a:cs typeface="Calibri"/>
            </a:rPr>
            <a:t>CHAMPIONSHIP</a:t>
          </a:r>
          <a:r>
            <a:rPr lang="en-US" sz="1100" b="0" i="0" u="none" strike="noStrike">
              <a:solidFill>
                <a:srgbClr val="C00000"/>
              </a:solidFill>
              <a:latin typeface="Calibri"/>
              <a:ea typeface="Calibri"/>
              <a:cs typeface="Calibri"/>
            </a:rPr>
            <a:t> </a:t>
          </a:r>
          <a:r>
            <a:rPr lang="en-US" sz="1000" b="0" i="0" u="none" strike="noStrike">
              <a:solidFill>
                <a:srgbClr val="C00000"/>
              </a:solidFill>
              <a:latin typeface="Calibri"/>
              <a:ea typeface="Calibri"/>
              <a:cs typeface="Calibri"/>
            </a:rPr>
            <a:t>POINTS</a:t>
          </a:r>
        </a:p>
        <a:p>
          <a:pPr algn="l"/>
          <a:endParaRPr lang="en-US" sz="800" b="0" i="0" u="none" strike="noStrike">
            <a:solidFill>
              <a:srgbClr val="C00000"/>
            </a:solidFill>
            <a:latin typeface="Calibri"/>
            <a:ea typeface="Calibri"/>
            <a:cs typeface="Calibri"/>
          </a:endParaRPr>
        </a:p>
        <a:p>
          <a:pPr algn="r"/>
          <a:fld id="{37D1A437-7F2A-4250-BD0C-BEE315E6F914}" type="TxLink">
            <a:rPr lang="en-US" sz="2000" b="0" i="0" u="none" strike="noStrike">
              <a:solidFill>
                <a:srgbClr val="C00000"/>
              </a:solidFill>
              <a:latin typeface="Calibri"/>
              <a:ea typeface="Calibri"/>
              <a:cs typeface="Calibri"/>
            </a:rPr>
            <a:pPr algn="r"/>
            <a:t>172</a:t>
          </a:fld>
          <a:endParaRPr lang="en-US" sz="2000" b="0" i="0" u="none" strike="noStrike">
            <a:solidFill>
              <a:srgbClr val="C00000"/>
            </a:solidFill>
            <a:latin typeface="Calibri"/>
            <a:ea typeface="Calibri"/>
            <a:cs typeface="Calibri"/>
          </a:endParaRPr>
        </a:p>
        <a:p>
          <a:pPr algn="r"/>
          <a:r>
            <a:rPr lang="en-IN" sz="1100">
              <a:solidFill>
                <a:srgbClr val="C00000"/>
              </a:solidFill>
            </a:rPr>
            <a:t>Points</a:t>
          </a:r>
        </a:p>
      </xdr:txBody>
    </xdr:sp>
    <xdr:clientData/>
  </xdr:twoCellAnchor>
  <xdr:twoCellAnchor editAs="oneCell">
    <xdr:from>
      <xdr:col>4</xdr:col>
      <xdr:colOff>173767</xdr:colOff>
      <xdr:row>4</xdr:row>
      <xdr:rowOff>180202</xdr:rowOff>
    </xdr:from>
    <xdr:to>
      <xdr:col>5</xdr:col>
      <xdr:colOff>379712</xdr:colOff>
      <xdr:row>9</xdr:row>
      <xdr:rowOff>128714</xdr:rowOff>
    </xdr:to>
    <xdr:pic>
      <xdr:nvPicPr>
        <xdr:cNvPr id="6" name="Graphic 5" descr="Star with solid fill">
          <a:extLst>
            <a:ext uri="{FF2B5EF4-FFF2-40B4-BE49-F238E27FC236}">
              <a16:creationId xmlns:a16="http://schemas.microsoft.com/office/drawing/2014/main" id="{B7F0D369-966B-0A7B-B3B4-4F33C5E19CA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73835" y="1042601"/>
          <a:ext cx="855962" cy="855962"/>
        </a:xfrm>
        <a:prstGeom prst="rect">
          <a:avLst/>
        </a:prstGeom>
      </xdr:spPr>
    </xdr:pic>
    <xdr:clientData/>
  </xdr:twoCellAnchor>
  <xdr:twoCellAnchor editAs="oneCell">
    <xdr:from>
      <xdr:col>8</xdr:col>
      <xdr:colOff>182269</xdr:colOff>
      <xdr:row>5</xdr:row>
      <xdr:rowOff>10559</xdr:rowOff>
    </xdr:from>
    <xdr:to>
      <xdr:col>9</xdr:col>
      <xdr:colOff>442994</xdr:colOff>
      <xdr:row>10</xdr:row>
      <xdr:rowOff>12992</xdr:rowOff>
    </xdr:to>
    <xdr:pic>
      <xdr:nvPicPr>
        <xdr:cNvPr id="9" name="Graphic 8" descr="User with solid fill">
          <a:extLst>
            <a:ext uri="{FF2B5EF4-FFF2-40B4-BE49-F238E27FC236}">
              <a16:creationId xmlns:a16="http://schemas.microsoft.com/office/drawing/2014/main" id="{EB30E928-A319-BFDB-347D-F4E06E04428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356343" y="1063013"/>
          <a:ext cx="907484" cy="913775"/>
        </a:xfrm>
        <a:prstGeom prst="rect">
          <a:avLst/>
        </a:prstGeom>
      </xdr:spPr>
    </xdr:pic>
    <xdr:clientData/>
  </xdr:twoCellAnchor>
  <xdr:twoCellAnchor editAs="oneCell">
    <xdr:from>
      <xdr:col>12</xdr:col>
      <xdr:colOff>250031</xdr:colOff>
      <xdr:row>4</xdr:row>
      <xdr:rowOff>172640</xdr:rowOff>
    </xdr:from>
    <xdr:to>
      <xdr:col>13</xdr:col>
      <xdr:colOff>516711</xdr:colOff>
      <xdr:row>10</xdr:row>
      <xdr:rowOff>4644</xdr:rowOff>
    </xdr:to>
    <xdr:pic>
      <xdr:nvPicPr>
        <xdr:cNvPr id="12" name="Graphic 11" descr="Users with solid fill">
          <a:extLst>
            <a:ext uri="{FF2B5EF4-FFF2-40B4-BE49-F238E27FC236}">
              <a16:creationId xmlns:a16="http://schemas.microsoft.com/office/drawing/2014/main" id="{3E008380-2C5D-E26E-7C3E-34A7E144E44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036719" y="1029890"/>
          <a:ext cx="915571" cy="909520"/>
        </a:xfrm>
        <a:prstGeom prst="rect">
          <a:avLst/>
        </a:prstGeom>
      </xdr:spPr>
    </xdr:pic>
    <xdr:clientData/>
  </xdr:twoCellAnchor>
  <xdr:twoCellAnchor editAs="oneCell">
    <xdr:from>
      <xdr:col>16</xdr:col>
      <xdr:colOff>205787</xdr:colOff>
      <xdr:row>4</xdr:row>
      <xdr:rowOff>158749</xdr:rowOff>
    </xdr:from>
    <xdr:to>
      <xdr:col>17</xdr:col>
      <xdr:colOff>473428</xdr:colOff>
      <xdr:row>9</xdr:row>
      <xdr:rowOff>155927</xdr:rowOff>
    </xdr:to>
    <xdr:pic>
      <xdr:nvPicPr>
        <xdr:cNvPr id="24" name="Graphic 23" descr="Car with solid fill">
          <a:extLst>
            <a:ext uri="{FF2B5EF4-FFF2-40B4-BE49-F238E27FC236}">
              <a16:creationId xmlns:a16="http://schemas.microsoft.com/office/drawing/2014/main" id="{723959E6-FA85-660B-1D65-CE27250AE93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553935" y="1023055"/>
          <a:ext cx="914400" cy="914400"/>
        </a:xfrm>
        <a:prstGeom prst="rect">
          <a:avLst/>
        </a:prstGeom>
      </xdr:spPr>
    </xdr:pic>
    <xdr:clientData/>
  </xdr:twoCellAnchor>
  <xdr:twoCellAnchor editAs="oneCell">
    <xdr:from>
      <xdr:col>20</xdr:col>
      <xdr:colOff>135232</xdr:colOff>
      <xdr:row>5</xdr:row>
      <xdr:rowOff>23518</xdr:rowOff>
    </xdr:from>
    <xdr:to>
      <xdr:col>21</xdr:col>
      <xdr:colOff>329261</xdr:colOff>
      <xdr:row>9</xdr:row>
      <xdr:rowOff>135232</xdr:rowOff>
    </xdr:to>
    <xdr:pic>
      <xdr:nvPicPr>
        <xdr:cNvPr id="35" name="Graphic 34" descr="Podium with solid fill">
          <a:extLst>
            <a:ext uri="{FF2B5EF4-FFF2-40B4-BE49-F238E27FC236}">
              <a16:creationId xmlns:a16="http://schemas.microsoft.com/office/drawing/2014/main" id="{1A7D9BD1-D38F-1705-9B5A-09311E6E704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070417" y="1075972"/>
          <a:ext cx="840788" cy="840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603817</xdr:colOff>
      <xdr:row>9</xdr:row>
      <xdr:rowOff>8504</xdr:rowOff>
    </xdr:from>
    <xdr:to>
      <xdr:col>13</xdr:col>
      <xdr:colOff>458894</xdr:colOff>
      <xdr:row>15</xdr:row>
      <xdr:rowOff>3500</xdr:rowOff>
    </xdr:to>
    <xdr:sp macro="" textlink="'Pivot Tables'!N3">
      <xdr:nvSpPr>
        <xdr:cNvPr id="4" name="Rectangle: Rounded Corners 3">
          <a:extLst>
            <a:ext uri="{FF2B5EF4-FFF2-40B4-BE49-F238E27FC236}">
              <a16:creationId xmlns:a16="http://schemas.microsoft.com/office/drawing/2014/main" id="{00A4D96C-9CF3-42AE-BF54-2A6EDAA14582}"/>
            </a:ext>
          </a:extLst>
        </xdr:cNvPr>
        <xdr:cNvSpPr/>
      </xdr:nvSpPr>
      <xdr:spPr>
        <a:xfrm>
          <a:off x="10286150" y="1654118"/>
          <a:ext cx="2457443" cy="1092072"/>
        </a:xfrm>
        <a:prstGeom prst="roundRect">
          <a:avLst>
            <a:gd name="adj" fmla="val 6600"/>
          </a:avLst>
        </a:prstGeom>
        <a:solidFill>
          <a:schemeClr val="tx1">
            <a:lumMod val="95000"/>
            <a:lumOff val="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900" b="0" i="0" u="none" strike="noStrike">
              <a:solidFill>
                <a:srgbClr val="C00000"/>
              </a:solidFill>
              <a:latin typeface="Calibri"/>
              <a:ea typeface="Calibri"/>
              <a:cs typeface="Calibri"/>
            </a:rPr>
            <a:t>CHAMPIONSHIP</a:t>
          </a:r>
          <a:r>
            <a:rPr lang="en-US" sz="1100" b="0" i="0" u="none" strike="noStrike">
              <a:solidFill>
                <a:srgbClr val="C00000"/>
              </a:solidFill>
              <a:latin typeface="Calibri"/>
              <a:ea typeface="Calibri"/>
              <a:cs typeface="Calibri"/>
            </a:rPr>
            <a:t> </a:t>
          </a:r>
          <a:r>
            <a:rPr lang="en-US" sz="900" b="0" i="0" u="none" strike="noStrike">
              <a:solidFill>
                <a:srgbClr val="C00000"/>
              </a:solidFill>
              <a:latin typeface="Calibri"/>
              <a:ea typeface="Calibri"/>
              <a:cs typeface="Calibri"/>
            </a:rPr>
            <a:t>POINTS</a:t>
          </a:r>
        </a:p>
        <a:p>
          <a:pPr algn="l"/>
          <a:endParaRPr lang="en-US" sz="800" b="0" i="0" u="none" strike="noStrike">
            <a:solidFill>
              <a:srgbClr val="C00000"/>
            </a:solidFill>
            <a:latin typeface="Calibri"/>
            <a:ea typeface="Calibri"/>
            <a:cs typeface="Calibri"/>
          </a:endParaRPr>
        </a:p>
        <a:p>
          <a:pPr algn="r"/>
          <a:fld id="{37D1A437-7F2A-4250-BD0C-BEE315E6F914}" type="TxLink">
            <a:rPr lang="en-US" sz="2000" b="0" i="0" u="none" strike="noStrike">
              <a:solidFill>
                <a:srgbClr val="C00000"/>
              </a:solidFill>
              <a:latin typeface="Calibri"/>
              <a:ea typeface="Calibri"/>
              <a:cs typeface="Calibri"/>
            </a:rPr>
            <a:pPr algn="r"/>
            <a:t>172</a:t>
          </a:fld>
          <a:endParaRPr lang="en-US" sz="2000" b="0" i="0" u="none" strike="noStrike">
            <a:solidFill>
              <a:srgbClr val="C00000"/>
            </a:solidFill>
            <a:latin typeface="Calibri"/>
            <a:ea typeface="Calibri"/>
            <a:cs typeface="Calibri"/>
          </a:endParaRPr>
        </a:p>
        <a:p>
          <a:pPr algn="r"/>
          <a:r>
            <a:rPr lang="en-IN" sz="1000">
              <a:solidFill>
                <a:srgbClr val="C00000"/>
              </a:solidFill>
            </a:rPr>
            <a:t>Points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 refreshedDate="46225.937945717589" createdVersion="8" refreshedVersion="8" minRefreshableVersion="3" recordCount="378" xr:uid="{AF0D948A-D038-4276-942E-B46178D263DC}">
  <cacheSource type="worksheet">
    <worksheetSource name="tblComparison"/>
  </cacheSource>
  <cacheFields count="5">
    <cacheField name="Season" numFmtId="0">
      <sharedItems containsSemiMixedTypes="0" containsString="0" containsNumber="1" containsInteger="1" minValue="2024" maxValue="2025" count="2">
        <n v="2025"/>
        <n v="2024"/>
      </sharedItems>
    </cacheField>
    <cacheField name="Driver" numFmtId="0">
      <sharedItems/>
    </cacheField>
    <cacheField name="Team" numFmtId="0">
      <sharedItems/>
    </cacheField>
    <cacheField name="Points" numFmtId="0">
      <sharedItems containsSemiMixedTypes="0" containsString="0" containsNumber="1" containsInteger="1" minValue="0" maxValue="26"/>
    </cacheField>
    <cacheField name="Winner" numFmtId="0">
      <sharedItems/>
    </cacheField>
  </cacheFields>
  <extLst>
    <ext xmlns:x14="http://schemas.microsoft.com/office/spreadsheetml/2009/9/main" uri="{725AE2AE-9491-48be-B2B4-4EB974FC3084}">
      <x14:pivotCacheDefinition pivotCacheId="7549495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 refreshedDate="46226.892609259259" createdVersion="8" refreshedVersion="8" minRefreshableVersion="3" recordCount="179" xr:uid="{1A68365D-83B4-45CD-81E9-A63A504E4B90}">
  <cacheSource type="worksheet">
    <worksheetSource name="tblRace2025"/>
  </cacheSource>
  <cacheFields count="18">
    <cacheField name="Track" numFmtId="0">
      <sharedItems count="9">
        <s v="Australia"/>
        <s v="China"/>
        <s v="Japan"/>
        <s v="Bahrain"/>
        <s v="Saudi Arabia"/>
        <s v="Miami"/>
        <s v="Emilia-Romagna"/>
        <s v="Monaco"/>
        <s v="Spain"/>
      </sharedItems>
    </cacheField>
    <cacheField name="Position" numFmtId="0">
      <sharedItems/>
    </cacheField>
    <cacheField name="Numeric Position" numFmtId="0">
      <sharedItems containsMixedTypes="1" containsNumber="1" containsInteger="1" minValue="1" maxValue="20"/>
    </cacheField>
    <cacheField name="No" numFmtId="0">
      <sharedItems containsSemiMixedTypes="0" containsString="0" containsNumber="1" containsInteger="1" minValue="1" maxValue="87"/>
    </cacheField>
    <cacheField name="Driver" numFmtId="0">
      <sharedItems count="21">
        <s v="Lando Norris"/>
        <s v="Max Verstappen"/>
        <s v="George Russell"/>
        <s v="Kimi Antonelli"/>
        <s v="Alexander Albon"/>
        <s v="Lance Stroll"/>
        <s v="Nico Hulkenberg"/>
        <s v="Charles Leclerc"/>
        <s v="Oscar Piastri"/>
        <s v="Lewis Hamilton"/>
        <s v="Pierre Gasly"/>
        <s v="Yuki Tsunoda"/>
        <s v="Esteban Ocon"/>
        <s v="Oliver Bearman"/>
        <s v="Liam Lawson"/>
        <s v="Gabriel Bortoleto"/>
        <s v="Fernando Alonso"/>
        <s v="Carlos Sainz"/>
        <s v="Jack Doohan"/>
        <s v="Isack Hadjar"/>
        <s v="Franco Colapinto"/>
      </sharedItems>
    </cacheField>
    <cacheField name="Team" numFmtId="0">
      <sharedItems count="10">
        <s v="McLaren Mercedes"/>
        <s v="Red Bull Racing Honda RBPT"/>
        <s v="Mercedes"/>
        <s v="Williams Mercedes"/>
        <s v="Aston Martin Aramco Mercedes"/>
        <s v="Kick Sauber Ferrari"/>
        <s v="Ferrari"/>
        <s v="Alpine Renault"/>
        <s v="Racing Bulls Honda RBPT"/>
        <s v="Haas Ferrari"/>
      </sharedItems>
    </cacheField>
    <cacheField name="Starting Grid" numFmtId="0">
      <sharedItems containsSemiMixedTypes="0" containsString="0" containsNumber="1" containsInteger="1" minValue="1" maxValue="20"/>
    </cacheField>
    <cacheField name="Laps" numFmtId="0">
      <sharedItems containsSemiMixedTypes="0" containsString="0" containsNumber="1" containsInteger="1" minValue="0" maxValue="78"/>
    </cacheField>
    <cacheField name="Time/Retired" numFmtId="0">
      <sharedItems/>
    </cacheField>
    <cacheField name="Points" numFmtId="0">
      <sharedItems containsSemiMixedTypes="0" containsString="0" containsNumber="1" containsInteger="1" minValue="0" maxValue="25"/>
    </cacheField>
    <cacheField name="Set Fastest Lap" numFmtId="0">
      <sharedItems/>
    </cacheField>
    <cacheField name="Fastest Lap Time" numFmtId="0">
      <sharedItems/>
    </cacheField>
    <cacheField name="Winner" numFmtId="0">
      <sharedItems count="2">
        <s v="Yes"/>
        <s v="No"/>
      </sharedItems>
    </cacheField>
    <cacheField name="Podium" numFmtId="0">
      <sharedItems count="2">
        <s v="Yes"/>
        <s v="No"/>
      </sharedItems>
    </cacheField>
    <cacheField name="Positions Gained" numFmtId="0">
      <sharedItems containsSemiMixedTypes="0" containsString="0" containsNumber="1" containsInteger="1" minValue="-7" maxValue="12"/>
    </cacheField>
    <cacheField name="Pole Winner" numFmtId="0">
      <sharedItems count="2">
        <s v="Yes"/>
        <s v="No"/>
      </sharedItems>
    </cacheField>
    <cacheField name="Points Finish" numFmtId="0">
      <sharedItems/>
    </cacheField>
    <cacheField name="Season"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1135802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8">
  <r>
    <x v="0"/>
    <s v="Lando Norris"/>
    <s v="McLaren Mercedes"/>
    <n v="25"/>
    <s v="Yes"/>
  </r>
  <r>
    <x v="0"/>
    <s v="Max Verstappen"/>
    <s v="Red Bull Racing Honda RBPT"/>
    <n v="18"/>
    <s v="No"/>
  </r>
  <r>
    <x v="0"/>
    <s v="George Russell"/>
    <s v="Mercedes"/>
    <n v="15"/>
    <s v="No"/>
  </r>
  <r>
    <x v="0"/>
    <s v="Kimi Antonelli"/>
    <s v="Mercedes"/>
    <n v="12"/>
    <s v="No"/>
  </r>
  <r>
    <x v="0"/>
    <s v="Alexander Albon"/>
    <s v="Williams Mercedes"/>
    <n v="10"/>
    <s v="No"/>
  </r>
  <r>
    <x v="0"/>
    <s v="Lance Stroll"/>
    <s v="Aston Martin Aramco Mercedes"/>
    <n v="8"/>
    <s v="No"/>
  </r>
  <r>
    <x v="0"/>
    <s v="Nico Hulkenberg"/>
    <s v="Kick Sauber Ferrari"/>
    <n v="6"/>
    <s v="No"/>
  </r>
  <r>
    <x v="0"/>
    <s v="Charles Leclerc"/>
    <s v="Ferrari"/>
    <n v="4"/>
    <s v="No"/>
  </r>
  <r>
    <x v="0"/>
    <s v="Oscar Piastri"/>
    <s v="McLaren Mercedes"/>
    <n v="2"/>
    <s v="No"/>
  </r>
  <r>
    <x v="0"/>
    <s v="Lewis Hamilton"/>
    <s v="Ferrari"/>
    <n v="1"/>
    <s v="No"/>
  </r>
  <r>
    <x v="0"/>
    <s v="Pierre Gasly"/>
    <s v="Alpine Renault"/>
    <n v="0"/>
    <s v="No"/>
  </r>
  <r>
    <x v="0"/>
    <s v="Yuki Tsunoda"/>
    <s v="Racing Bulls Honda RBPT"/>
    <n v="0"/>
    <s v="No"/>
  </r>
  <r>
    <x v="0"/>
    <s v="Esteban Ocon"/>
    <s v="Haas Ferrari"/>
    <n v="0"/>
    <s v="No"/>
  </r>
  <r>
    <x v="0"/>
    <s v="Oliver Bearman"/>
    <s v="Haas Ferrari"/>
    <n v="0"/>
    <s v="No"/>
  </r>
  <r>
    <x v="0"/>
    <s v="Liam Lawson"/>
    <s v="Red Bull Racing Honda RBPT"/>
    <n v="0"/>
    <s v="No"/>
  </r>
  <r>
    <x v="0"/>
    <s v="Gabriel Bortoleto"/>
    <s v="Kick Sauber Ferrari"/>
    <n v="0"/>
    <s v="No"/>
  </r>
  <r>
    <x v="0"/>
    <s v="Fernando Alonso"/>
    <s v="Aston Martin Aramco Mercedes"/>
    <n v="0"/>
    <s v="No"/>
  </r>
  <r>
    <x v="0"/>
    <s v="Carlos Sainz"/>
    <s v="Williams Mercedes"/>
    <n v="0"/>
    <s v="No"/>
  </r>
  <r>
    <x v="0"/>
    <s v="Jack Doohan"/>
    <s v="Alpine Renault"/>
    <n v="0"/>
    <s v="No"/>
  </r>
  <r>
    <x v="0"/>
    <s v="Isack Hadjar"/>
    <s v="Racing Bulls Honda RBPT"/>
    <n v="0"/>
    <s v="No"/>
  </r>
  <r>
    <x v="0"/>
    <s v="Oscar Piastri"/>
    <s v="McLaren Mercedes"/>
    <n v="25"/>
    <s v="Yes"/>
  </r>
  <r>
    <x v="0"/>
    <s v="Lando Norris"/>
    <s v="McLaren Mercedes"/>
    <n v="18"/>
    <s v="No"/>
  </r>
  <r>
    <x v="0"/>
    <s v="George Russell"/>
    <s v="Mercedes"/>
    <n v="15"/>
    <s v="No"/>
  </r>
  <r>
    <x v="0"/>
    <s v="Max Verstappen"/>
    <s v="Red Bull Racing Honda RBPT"/>
    <n v="12"/>
    <s v="No"/>
  </r>
  <r>
    <x v="0"/>
    <s v="Esteban Ocon"/>
    <s v="Haas Ferrari"/>
    <n v="10"/>
    <s v="No"/>
  </r>
  <r>
    <x v="0"/>
    <s v="Kimi Antonelli"/>
    <s v="Mercedes"/>
    <n v="8"/>
    <s v="No"/>
  </r>
  <r>
    <x v="0"/>
    <s v="Alexander Albon"/>
    <s v="Williams Mercedes"/>
    <n v="6"/>
    <s v="No"/>
  </r>
  <r>
    <x v="0"/>
    <s v="Oliver Bearman"/>
    <s v="Haas Ferrari"/>
    <n v="4"/>
    <s v="No"/>
  </r>
  <r>
    <x v="0"/>
    <s v="Lance Stroll"/>
    <s v="Aston Martin Aramco Mercedes"/>
    <n v="2"/>
    <s v="No"/>
  </r>
  <r>
    <x v="0"/>
    <s v="Carlos Sainz"/>
    <s v="Williams Mercedes"/>
    <n v="1"/>
    <s v="No"/>
  </r>
  <r>
    <x v="0"/>
    <s v="Isack Hadjar"/>
    <s v="Racing Bulls Honda RBPT"/>
    <n v="0"/>
    <s v="No"/>
  </r>
  <r>
    <x v="0"/>
    <s v="Liam Lawson"/>
    <s v="Red Bull Racing Honda RBPT"/>
    <n v="0"/>
    <s v="No"/>
  </r>
  <r>
    <x v="0"/>
    <s v="Jack Doohan"/>
    <s v="Alpine Renault"/>
    <n v="0"/>
    <s v="No"/>
  </r>
  <r>
    <x v="0"/>
    <s v="Gabriel Bortoleto"/>
    <s v="Kick Sauber Ferrari"/>
    <n v="0"/>
    <s v="No"/>
  </r>
  <r>
    <x v="0"/>
    <s v="Nico Hulkenberg"/>
    <s v="Kick Sauber Ferrari"/>
    <n v="0"/>
    <s v="No"/>
  </r>
  <r>
    <x v="0"/>
    <s v="Yuki Tsunoda"/>
    <s v="Racing Bulls Honda RBPT"/>
    <n v="0"/>
    <s v="No"/>
  </r>
  <r>
    <x v="0"/>
    <s v="Fernando Alonso"/>
    <s v="Aston Martin Aramco Mercedes"/>
    <n v="0"/>
    <s v="No"/>
  </r>
  <r>
    <x v="0"/>
    <s v="Charles Leclerc"/>
    <s v="Ferrari"/>
    <n v="0"/>
    <s v="No"/>
  </r>
  <r>
    <x v="0"/>
    <s v="Lewis Hamilton"/>
    <s v="Ferrari"/>
    <n v="0"/>
    <s v="No"/>
  </r>
  <r>
    <x v="0"/>
    <s v="Pierre Gasly"/>
    <s v="Alpine Renault"/>
    <n v="0"/>
    <s v="No"/>
  </r>
  <r>
    <x v="0"/>
    <s v="Max Verstappen"/>
    <s v="Red Bull Racing Honda RBPT"/>
    <n v="25"/>
    <s v="Yes"/>
  </r>
  <r>
    <x v="0"/>
    <s v="Lando Norris"/>
    <s v="McLaren Mercedes"/>
    <n v="18"/>
    <s v="No"/>
  </r>
  <r>
    <x v="0"/>
    <s v="Oscar Piastri"/>
    <s v="McLaren Mercedes"/>
    <n v="15"/>
    <s v="No"/>
  </r>
  <r>
    <x v="0"/>
    <s v="Charles Leclerc"/>
    <s v="Ferrari"/>
    <n v="12"/>
    <s v="No"/>
  </r>
  <r>
    <x v="0"/>
    <s v="George Russell"/>
    <s v="Mercedes"/>
    <n v="10"/>
    <s v="No"/>
  </r>
  <r>
    <x v="0"/>
    <s v="Kimi Antonelli"/>
    <s v="Mercedes"/>
    <n v="8"/>
    <s v="No"/>
  </r>
  <r>
    <x v="0"/>
    <s v="Lewis Hamilton"/>
    <s v="Ferrari"/>
    <n v="6"/>
    <s v="No"/>
  </r>
  <r>
    <x v="0"/>
    <s v="Isack Hadjar"/>
    <s v="Racing Bulls Honda RBPT"/>
    <n v="4"/>
    <s v="No"/>
  </r>
  <r>
    <x v="0"/>
    <s v="Alexander Albon"/>
    <s v="Williams Mercedes"/>
    <n v="2"/>
    <s v="No"/>
  </r>
  <r>
    <x v="0"/>
    <s v="Oliver Bearman"/>
    <s v="Haas Ferrari"/>
    <n v="1"/>
    <s v="No"/>
  </r>
  <r>
    <x v="0"/>
    <s v="Fernando Alonso"/>
    <s v="Aston Martin Aramco Mercedes"/>
    <n v="0"/>
    <s v="No"/>
  </r>
  <r>
    <x v="0"/>
    <s v="Yuki Tsunoda"/>
    <s v="Red Bull Racing Honda RBPT"/>
    <n v="0"/>
    <s v="No"/>
  </r>
  <r>
    <x v="0"/>
    <s v="Pierre Gasly"/>
    <s v="Alpine Renault"/>
    <n v="0"/>
    <s v="No"/>
  </r>
  <r>
    <x v="0"/>
    <s v="Carlos Sainz"/>
    <s v="Williams Mercedes"/>
    <n v="0"/>
    <s v="No"/>
  </r>
  <r>
    <x v="0"/>
    <s v="Jack Doohan"/>
    <s v="Alpine Renault"/>
    <n v="0"/>
    <s v="No"/>
  </r>
  <r>
    <x v="0"/>
    <s v="Nico Hulkenberg"/>
    <s v="Kick Sauber Ferrari"/>
    <n v="0"/>
    <s v="No"/>
  </r>
  <r>
    <x v="0"/>
    <s v="Liam Lawson"/>
    <s v="Racing Bulls Honda RBPT"/>
    <n v="0"/>
    <s v="No"/>
  </r>
  <r>
    <x v="0"/>
    <s v="Esteban Ocon"/>
    <s v="Haas Ferrari"/>
    <n v="0"/>
    <s v="No"/>
  </r>
  <r>
    <x v="0"/>
    <s v="Gabriel Bortoleto"/>
    <s v="Kick Sauber Ferrari"/>
    <n v="0"/>
    <s v="No"/>
  </r>
  <r>
    <x v="0"/>
    <s v="Lance Stroll"/>
    <s v="Aston Martin Aramco Mercedes"/>
    <n v="0"/>
    <s v="No"/>
  </r>
  <r>
    <x v="0"/>
    <s v="Oscar Piastri"/>
    <s v="McLaren Mercedes"/>
    <n v="25"/>
    <s v="Yes"/>
  </r>
  <r>
    <x v="0"/>
    <s v="George Russell"/>
    <s v="Mercedes"/>
    <n v="18"/>
    <s v="No"/>
  </r>
  <r>
    <x v="0"/>
    <s v="Lando Norris"/>
    <s v="McLaren Mercedes"/>
    <n v="15"/>
    <s v="No"/>
  </r>
  <r>
    <x v="0"/>
    <s v="Charles Leclerc"/>
    <s v="Ferrari"/>
    <n v="12"/>
    <s v="No"/>
  </r>
  <r>
    <x v="0"/>
    <s v="Lewis Hamilton"/>
    <s v="Ferrari"/>
    <n v="10"/>
    <s v="No"/>
  </r>
  <r>
    <x v="0"/>
    <s v="Max Verstappen"/>
    <s v="Red Bull Racing Honda RBPT"/>
    <n v="8"/>
    <s v="No"/>
  </r>
  <r>
    <x v="0"/>
    <s v="Pierre Gasly"/>
    <s v="Alpine Renault"/>
    <n v="6"/>
    <s v="No"/>
  </r>
  <r>
    <x v="0"/>
    <s v="Esteban Ocon"/>
    <s v="Haas Ferrari"/>
    <n v="4"/>
    <s v="No"/>
  </r>
  <r>
    <x v="0"/>
    <s v="Yuki Tsunoda"/>
    <s v="Red Bull Racing Honda RBPT"/>
    <n v="2"/>
    <s v="No"/>
  </r>
  <r>
    <x v="0"/>
    <s v="Oliver Bearman"/>
    <s v="Haas Ferrari"/>
    <n v="1"/>
    <s v="No"/>
  </r>
  <r>
    <x v="0"/>
    <s v="Kimi Antonelli"/>
    <s v="Mercedes"/>
    <n v="0"/>
    <s v="No"/>
  </r>
  <r>
    <x v="0"/>
    <s v="Alexander Albon"/>
    <s v="Williams Mercedes"/>
    <n v="0"/>
    <s v="No"/>
  </r>
  <r>
    <x v="0"/>
    <s v="Isack Hadjar"/>
    <s v="Racing Bulls Honda RBPT"/>
    <n v="0"/>
    <s v="No"/>
  </r>
  <r>
    <x v="0"/>
    <s v="Jack Doohan"/>
    <s v="Alpine Renault"/>
    <n v="0"/>
    <s v="No"/>
  </r>
  <r>
    <x v="0"/>
    <s v="Fernando Alonso"/>
    <s v="Aston Martin Aramco Mercedes"/>
    <n v="0"/>
    <s v="No"/>
  </r>
  <r>
    <x v="0"/>
    <s v="Liam Lawson"/>
    <s v="Racing Bulls Honda RBPT"/>
    <n v="0"/>
    <s v="No"/>
  </r>
  <r>
    <x v="0"/>
    <s v="Lance Stroll"/>
    <s v="Aston Martin Aramco Mercedes"/>
    <n v="0"/>
    <s v="No"/>
  </r>
  <r>
    <x v="0"/>
    <s v="Gabriel Bortoleto"/>
    <s v="Kick Sauber Ferrari"/>
    <n v="0"/>
    <s v="No"/>
  </r>
  <r>
    <x v="0"/>
    <s v="Carlos Sainz"/>
    <s v="Williams Mercedes"/>
    <n v="0"/>
    <s v="No"/>
  </r>
  <r>
    <x v="0"/>
    <s v="Nico Hulkenberg"/>
    <s v="Kick Sauber Ferrari"/>
    <n v="0"/>
    <s v="No"/>
  </r>
  <r>
    <x v="0"/>
    <s v="Oscar Piastri"/>
    <s v="McLaren Mercedes"/>
    <n v="25"/>
    <s v="Yes"/>
  </r>
  <r>
    <x v="0"/>
    <s v="Max Verstappen"/>
    <s v="Red Bull Racing Honda RBPT"/>
    <n v="18"/>
    <s v="No"/>
  </r>
  <r>
    <x v="0"/>
    <s v="Charles Leclerc"/>
    <s v="Ferrari"/>
    <n v="15"/>
    <s v="No"/>
  </r>
  <r>
    <x v="0"/>
    <s v="Lando Norris"/>
    <s v="McLaren Mercedes"/>
    <n v="12"/>
    <s v="No"/>
  </r>
  <r>
    <x v="0"/>
    <s v="George Russell"/>
    <s v="Mercedes"/>
    <n v="10"/>
    <s v="No"/>
  </r>
  <r>
    <x v="0"/>
    <s v="Kimi Antonelli"/>
    <s v="Mercedes"/>
    <n v="8"/>
    <s v="No"/>
  </r>
  <r>
    <x v="0"/>
    <s v="Lewis Hamilton"/>
    <s v="Ferrari"/>
    <n v="6"/>
    <s v="No"/>
  </r>
  <r>
    <x v="0"/>
    <s v="Carlos Sainz"/>
    <s v="Williams Mercedes"/>
    <n v="4"/>
    <s v="No"/>
  </r>
  <r>
    <x v="0"/>
    <s v="Alexander Albon"/>
    <s v="Williams Mercedes"/>
    <n v="2"/>
    <s v="No"/>
  </r>
  <r>
    <x v="0"/>
    <s v="Isack Hadjar"/>
    <s v="Racing Bulls Honda RBPT"/>
    <n v="1"/>
    <s v="No"/>
  </r>
  <r>
    <x v="0"/>
    <s v="Fernando Alonso"/>
    <s v="Aston Martin Aramco Mercedes"/>
    <n v="0"/>
    <s v="No"/>
  </r>
  <r>
    <x v="0"/>
    <s v="Liam Lawson"/>
    <s v="Racing Bulls Honda RBPT"/>
    <n v="0"/>
    <s v="No"/>
  </r>
  <r>
    <x v="0"/>
    <s v="Oliver Bearman"/>
    <s v="Haas Ferrari"/>
    <n v="0"/>
    <s v="No"/>
  </r>
  <r>
    <x v="0"/>
    <s v="Esteban Ocon"/>
    <s v="Haas Ferrari"/>
    <n v="0"/>
    <s v="No"/>
  </r>
  <r>
    <x v="0"/>
    <s v="Nico Hulkenberg"/>
    <s v="Kick Sauber Ferrari"/>
    <n v="0"/>
    <s v="No"/>
  </r>
  <r>
    <x v="0"/>
    <s v="Lance Stroll"/>
    <s v="Aston Martin Aramco Mercedes"/>
    <n v="0"/>
    <s v="No"/>
  </r>
  <r>
    <x v="0"/>
    <s v="Jack Doohan"/>
    <s v="Alpine Renault"/>
    <n v="0"/>
    <s v="No"/>
  </r>
  <r>
    <x v="0"/>
    <s v="Gabriel Bortoleto"/>
    <s v="Kick Sauber Ferrari"/>
    <n v="0"/>
    <s v="No"/>
  </r>
  <r>
    <x v="0"/>
    <s v="Yuki Tsunoda"/>
    <s v="Red Bull Racing Honda RBPT"/>
    <n v="0"/>
    <s v="No"/>
  </r>
  <r>
    <x v="0"/>
    <s v="Pierre Gasly"/>
    <s v="Alpine Renault"/>
    <n v="0"/>
    <s v="No"/>
  </r>
  <r>
    <x v="0"/>
    <s v="Oscar Piastri"/>
    <s v="McLaren Mercedes"/>
    <n v="25"/>
    <s v="Yes"/>
  </r>
  <r>
    <x v="0"/>
    <s v="Lando Norris"/>
    <s v="McLaren Mercedes"/>
    <n v="18"/>
    <s v="No"/>
  </r>
  <r>
    <x v="0"/>
    <s v="George Russell"/>
    <s v="Mercedes"/>
    <n v="15"/>
    <s v="No"/>
  </r>
  <r>
    <x v="0"/>
    <s v="Max Verstappen"/>
    <s v="Red Bull Racing Honda RBPT"/>
    <n v="12"/>
    <s v="No"/>
  </r>
  <r>
    <x v="0"/>
    <s v="Alexander Albon"/>
    <s v="Williams Mercedes"/>
    <n v="10"/>
    <s v="No"/>
  </r>
  <r>
    <x v="0"/>
    <s v="Kimi Antonelli"/>
    <s v="Mercedes"/>
    <n v="8"/>
    <s v="No"/>
  </r>
  <r>
    <x v="0"/>
    <s v="Charles Leclerc"/>
    <s v="Ferrari"/>
    <n v="6"/>
    <s v="No"/>
  </r>
  <r>
    <x v="0"/>
    <s v="Lewis Hamilton"/>
    <s v="Ferrari"/>
    <n v="4"/>
    <s v="No"/>
  </r>
  <r>
    <x v="0"/>
    <s v="Carlos Sainz"/>
    <s v="Williams Mercedes"/>
    <n v="2"/>
    <s v="No"/>
  </r>
  <r>
    <x v="0"/>
    <s v="Yuki Tsunoda"/>
    <s v="Red Bull Racing Honda RBPT"/>
    <n v="1"/>
    <s v="No"/>
  </r>
  <r>
    <x v="0"/>
    <s v="Isack Hadjar"/>
    <s v="Racing Bulls Honda RBPT"/>
    <n v="0"/>
    <s v="No"/>
  </r>
  <r>
    <x v="0"/>
    <s v="Esteban Ocon"/>
    <s v="Haas Ferrari"/>
    <n v="0"/>
    <s v="No"/>
  </r>
  <r>
    <x v="0"/>
    <s v="Pierre Gasly"/>
    <s v="Alpine Renault"/>
    <n v="0"/>
    <s v="No"/>
  </r>
  <r>
    <x v="0"/>
    <s v="Nico Hulkenberg"/>
    <s v="Kick Sauber Ferrari"/>
    <n v="0"/>
    <s v="No"/>
  </r>
  <r>
    <x v="0"/>
    <s v="Fernando Alonso"/>
    <s v="Aston Martin Aramco Mercedes"/>
    <n v="0"/>
    <s v="No"/>
  </r>
  <r>
    <x v="0"/>
    <s v="Lance Stroll"/>
    <s v="Aston Martin Aramco Mercedes"/>
    <n v="0"/>
    <s v="No"/>
  </r>
  <r>
    <x v="0"/>
    <s v="Liam Lawson"/>
    <s v="Racing Bulls Honda RBPT"/>
    <n v="0"/>
    <s v="No"/>
  </r>
  <r>
    <x v="0"/>
    <s v="Gabriel Bortoleto"/>
    <s v="Kick Sauber Ferrari"/>
    <n v="0"/>
    <s v="No"/>
  </r>
  <r>
    <x v="0"/>
    <s v="Oliver Bearman"/>
    <s v="Haas Ferrari"/>
    <n v="0"/>
    <s v="No"/>
  </r>
  <r>
    <x v="0"/>
    <s v="Jack Doohan"/>
    <s v="Alpine Renault"/>
    <n v="0"/>
    <s v="No"/>
  </r>
  <r>
    <x v="0"/>
    <s v="Max Verstappen"/>
    <s v="Red Bull Racing Honda RBPT"/>
    <n v="25"/>
    <s v="Yes"/>
  </r>
  <r>
    <x v="0"/>
    <s v="Lando Norris"/>
    <s v="McLaren Mercedes"/>
    <n v="18"/>
    <s v="No"/>
  </r>
  <r>
    <x v="0"/>
    <s v="Oscar Piastri"/>
    <s v="McLaren Mercedes"/>
    <n v="15"/>
    <s v="No"/>
  </r>
  <r>
    <x v="0"/>
    <s v="Lewis Hamilton"/>
    <s v="Ferrari"/>
    <n v="12"/>
    <s v="No"/>
  </r>
  <r>
    <x v="0"/>
    <s v="Alexander Albon"/>
    <s v="Williams Mercedes"/>
    <n v="10"/>
    <s v="No"/>
  </r>
  <r>
    <x v="0"/>
    <s v="Charles Leclerc"/>
    <s v="Ferrari"/>
    <n v="8"/>
    <s v="No"/>
  </r>
  <r>
    <x v="0"/>
    <s v="George Russell"/>
    <s v="Mercedes"/>
    <n v="6"/>
    <s v="No"/>
  </r>
  <r>
    <x v="0"/>
    <s v="Carlos Sainz"/>
    <s v="Williams Mercedes"/>
    <n v="4"/>
    <s v="No"/>
  </r>
  <r>
    <x v="0"/>
    <s v="Isack Hadjar"/>
    <s v="Racing Bulls Honda RBPT"/>
    <n v="2"/>
    <s v="No"/>
  </r>
  <r>
    <x v="0"/>
    <s v="Yuki Tsunoda"/>
    <s v="Red Bull Racing Honda RBPT"/>
    <n v="1"/>
    <s v="No"/>
  </r>
  <r>
    <x v="0"/>
    <s v="Fernando Alonso"/>
    <s v="Aston Martin Aramco Mercedes"/>
    <n v="0"/>
    <s v="No"/>
  </r>
  <r>
    <x v="0"/>
    <s v="Nico Hulkenberg"/>
    <s v="Kick Sauber Ferrari"/>
    <n v="0"/>
    <s v="No"/>
  </r>
  <r>
    <x v="0"/>
    <s v="Pierre Gasly"/>
    <s v="Alpine Renault"/>
    <n v="0"/>
    <s v="No"/>
  </r>
  <r>
    <x v="0"/>
    <s v="Liam Lawson"/>
    <s v="Racing Bulls Honda RBPT"/>
    <n v="0"/>
    <s v="No"/>
  </r>
  <r>
    <x v="0"/>
    <s v="Lance Stroll"/>
    <s v="Aston Martin Aramco Mercedes"/>
    <n v="0"/>
    <s v="No"/>
  </r>
  <r>
    <x v="0"/>
    <s v="Franco Colapinto"/>
    <s v="Alpine Renault"/>
    <n v="0"/>
    <s v="No"/>
  </r>
  <r>
    <x v="0"/>
    <s v="Oliver Bearman"/>
    <s v="Haas Ferrari"/>
    <n v="0"/>
    <s v="No"/>
  </r>
  <r>
    <x v="0"/>
    <s v="Gabriel Bortoleto"/>
    <s v="Kick Sauber Ferrari"/>
    <n v="0"/>
    <s v="No"/>
  </r>
  <r>
    <x v="0"/>
    <s v="Kimi Antonelli"/>
    <s v="Mercedes"/>
    <n v="0"/>
    <s v="No"/>
  </r>
  <r>
    <x v="0"/>
    <s v="Esteban Ocon"/>
    <s v="Haas Ferrari"/>
    <n v="0"/>
    <s v="No"/>
  </r>
  <r>
    <x v="0"/>
    <s v="Lando Norris"/>
    <s v="McLaren Mercedes"/>
    <n v="25"/>
    <s v="Yes"/>
  </r>
  <r>
    <x v="0"/>
    <s v="Charles Leclerc"/>
    <s v="Ferrari"/>
    <n v="18"/>
    <s v="No"/>
  </r>
  <r>
    <x v="0"/>
    <s v="Oscar Piastri"/>
    <s v="McLaren Mercedes"/>
    <n v="15"/>
    <s v="No"/>
  </r>
  <r>
    <x v="0"/>
    <s v="Max Verstappen"/>
    <s v="Red Bull Racing Honda RBPT"/>
    <n v="12"/>
    <s v="No"/>
  </r>
  <r>
    <x v="0"/>
    <s v="Lewis Hamilton"/>
    <s v="Ferrari"/>
    <n v="10"/>
    <s v="No"/>
  </r>
  <r>
    <x v="0"/>
    <s v="Isack Hadjar"/>
    <s v="Racing Bulls Honda RBPT"/>
    <n v="8"/>
    <s v="No"/>
  </r>
  <r>
    <x v="0"/>
    <s v="Esteban Ocon"/>
    <s v="Haas Ferrari"/>
    <n v="6"/>
    <s v="No"/>
  </r>
  <r>
    <x v="0"/>
    <s v="Liam Lawson"/>
    <s v="Racing Bulls Honda RBPT"/>
    <n v="4"/>
    <s v="No"/>
  </r>
  <r>
    <x v="0"/>
    <s v="Alexander Albon"/>
    <s v="Williams Mercedes"/>
    <n v="2"/>
    <s v="No"/>
  </r>
  <r>
    <x v="0"/>
    <s v="Carlos Sainz"/>
    <s v="Williams Mercedes"/>
    <n v="1"/>
    <s v="No"/>
  </r>
  <r>
    <x v="0"/>
    <s v="George Russell"/>
    <s v="Mercedes"/>
    <n v="0"/>
    <s v="No"/>
  </r>
  <r>
    <x v="0"/>
    <s v="Oliver Bearman"/>
    <s v="Haas Ferrari"/>
    <n v="0"/>
    <s v="No"/>
  </r>
  <r>
    <x v="0"/>
    <s v="Franco Colapinto"/>
    <s v="Alpine Renault"/>
    <n v="0"/>
    <s v="No"/>
  </r>
  <r>
    <x v="0"/>
    <s v="Gabriel Bortoleto"/>
    <s v="Kick Sauber Ferrari"/>
    <n v="0"/>
    <s v="No"/>
  </r>
  <r>
    <x v="0"/>
    <s v="Lance Stroll"/>
    <s v="Aston Martin Aramco Mercedes"/>
    <n v="0"/>
    <s v="No"/>
  </r>
  <r>
    <x v="0"/>
    <s v="Nico Hulkenberg"/>
    <s v="Kick Sauber Ferrari"/>
    <n v="0"/>
    <s v="No"/>
  </r>
  <r>
    <x v="0"/>
    <s v="Yuki Tsunoda"/>
    <s v="Red Bull Racing Honda RBPT"/>
    <n v="0"/>
    <s v="No"/>
  </r>
  <r>
    <x v="0"/>
    <s v="Kimi Antonelli"/>
    <s v="Mercedes"/>
    <n v="0"/>
    <s v="No"/>
  </r>
  <r>
    <x v="0"/>
    <s v="Fernando Alonso"/>
    <s v="Aston Martin Aramco Mercedes"/>
    <n v="0"/>
    <s v="No"/>
  </r>
  <r>
    <x v="0"/>
    <s v="Pierre Gasly"/>
    <s v="Alpine Renault"/>
    <n v="0"/>
    <s v="No"/>
  </r>
  <r>
    <x v="0"/>
    <s v="Oscar Piastri"/>
    <s v="McLaren Mercedes"/>
    <n v="25"/>
    <s v="Yes"/>
  </r>
  <r>
    <x v="0"/>
    <s v="Lando Norris"/>
    <s v="McLaren Mercedes"/>
    <n v="18"/>
    <s v="No"/>
  </r>
  <r>
    <x v="0"/>
    <s v="Charles Leclerc"/>
    <s v="Ferrari"/>
    <n v="15"/>
    <s v="No"/>
  </r>
  <r>
    <x v="0"/>
    <s v="George Russell"/>
    <s v="Mercedes"/>
    <n v="12"/>
    <s v="No"/>
  </r>
  <r>
    <x v="0"/>
    <s v="Nico Hulkenberg"/>
    <s v="Kick Sauber Ferrari"/>
    <n v="10"/>
    <s v="No"/>
  </r>
  <r>
    <x v="0"/>
    <s v="Lewis Hamilton"/>
    <s v="Ferrari"/>
    <n v="8"/>
    <s v="No"/>
  </r>
  <r>
    <x v="0"/>
    <s v="Isack Hadjar"/>
    <s v="Racing Bulls Honda RBPT"/>
    <n v="6"/>
    <s v="No"/>
  </r>
  <r>
    <x v="0"/>
    <s v="Pierre Gasly"/>
    <s v="Alpine Renault"/>
    <n v="4"/>
    <s v="No"/>
  </r>
  <r>
    <x v="0"/>
    <s v="Fernando Alonso"/>
    <s v="Aston Martin Aramco Mercedes"/>
    <n v="2"/>
    <s v="No"/>
  </r>
  <r>
    <x v="0"/>
    <s v="Max Verstappen"/>
    <s v="Red Bull Racing Honda RBPT"/>
    <n v="1"/>
    <s v="No"/>
  </r>
  <r>
    <x v="0"/>
    <s v="Liam Lawson"/>
    <s v="Racing Bulls Honda RBPT"/>
    <n v="0"/>
    <s v="No"/>
  </r>
  <r>
    <x v="0"/>
    <s v="Gabriel Bortoleto"/>
    <s v="Kick Sauber Ferrari"/>
    <n v="0"/>
    <s v="No"/>
  </r>
  <r>
    <x v="0"/>
    <s v="Yuki Tsunoda"/>
    <s v="Red Bull Racing Honda RBPT"/>
    <n v="0"/>
    <s v="No"/>
  </r>
  <r>
    <x v="0"/>
    <s v="Carlos Sainz"/>
    <s v="Williams Mercedes"/>
    <n v="0"/>
    <s v="No"/>
  </r>
  <r>
    <x v="0"/>
    <s v="Franco Colapinto"/>
    <s v="Alpine Renault"/>
    <n v="0"/>
    <s v="No"/>
  </r>
  <r>
    <x v="0"/>
    <s v="Esteban Ocon"/>
    <s v="Haas Ferrari"/>
    <n v="0"/>
    <s v="No"/>
  </r>
  <r>
    <x v="0"/>
    <s v="Oliver Bearman"/>
    <s v="Haas Ferrari"/>
    <n v="0"/>
    <s v="No"/>
  </r>
  <r>
    <x v="0"/>
    <s v="Kimi Antonelli"/>
    <s v="Mercedes"/>
    <n v="0"/>
    <s v="No"/>
  </r>
  <r>
    <x v="0"/>
    <s v="Alexander Albon"/>
    <s v="Williams Mercedes"/>
    <n v="0"/>
    <s v="No"/>
  </r>
  <r>
    <x v="1"/>
    <s v="Max Verstappen"/>
    <s v="Red Bull Racing Honda RBPT"/>
    <n v="26"/>
    <s v="Yes"/>
  </r>
  <r>
    <x v="1"/>
    <s v="Sergio Perez"/>
    <s v="Red Bull Racing Honda RBPT"/>
    <n v="18"/>
    <s v="No"/>
  </r>
  <r>
    <x v="1"/>
    <s v="Carlos Sainz"/>
    <s v="Ferrari"/>
    <n v="15"/>
    <s v="No"/>
  </r>
  <r>
    <x v="1"/>
    <s v="Charles Leclerc"/>
    <s v="Ferrari"/>
    <n v="12"/>
    <s v="No"/>
  </r>
  <r>
    <x v="1"/>
    <s v="George Russell"/>
    <s v="Mercedes"/>
    <n v="10"/>
    <s v="No"/>
  </r>
  <r>
    <x v="1"/>
    <s v="Lando Norris"/>
    <s v="McLaren Mercedes"/>
    <n v="8"/>
    <s v="No"/>
  </r>
  <r>
    <x v="1"/>
    <s v="Lewis Hamilton"/>
    <s v="Mercedes"/>
    <n v="6"/>
    <s v="No"/>
  </r>
  <r>
    <x v="1"/>
    <s v="Oscar Piastri"/>
    <s v="McLaren Mercedes"/>
    <n v="4"/>
    <s v="No"/>
  </r>
  <r>
    <x v="1"/>
    <s v="Fernando Alonso"/>
    <s v="Aston Martin Aramco Mercedes"/>
    <n v="2"/>
    <s v="No"/>
  </r>
  <r>
    <x v="1"/>
    <s v="Lance Stroll"/>
    <s v="Aston Martin Aramco Mercedes"/>
    <n v="1"/>
    <s v="No"/>
  </r>
  <r>
    <x v="1"/>
    <s v="Guanyu Zhou"/>
    <s v="Kick Sauber Ferrari"/>
    <n v="0"/>
    <s v="No"/>
  </r>
  <r>
    <x v="1"/>
    <s v="Kevin Magnussen"/>
    <s v="Haas Ferrari"/>
    <n v="0"/>
    <s v="No"/>
  </r>
  <r>
    <x v="1"/>
    <s v="Daniel Ricciardo"/>
    <s v="RB Honda RBPT"/>
    <n v="0"/>
    <s v="No"/>
  </r>
  <r>
    <x v="1"/>
    <s v="Yuki Tsunoda"/>
    <s v="RB Honda RBPT"/>
    <n v="0"/>
    <s v="No"/>
  </r>
  <r>
    <x v="1"/>
    <s v="Alexander Albon"/>
    <s v="Williams Mercedes"/>
    <n v="0"/>
    <s v="No"/>
  </r>
  <r>
    <x v="1"/>
    <s v="Nico Hulkenberg"/>
    <s v="Haas Ferrari"/>
    <n v="0"/>
    <s v="No"/>
  </r>
  <r>
    <x v="1"/>
    <s v="Esteban Ocon"/>
    <s v="Alpine Renault"/>
    <n v="0"/>
    <s v="No"/>
  </r>
  <r>
    <x v="1"/>
    <s v="Pierre Gasly"/>
    <s v="Alpine Renault"/>
    <n v="0"/>
    <s v="No"/>
  </r>
  <r>
    <x v="1"/>
    <s v="Valtteri Bottas"/>
    <s v="Kick Sauber Ferrari"/>
    <n v="0"/>
    <s v="No"/>
  </r>
  <r>
    <x v="1"/>
    <s v="Logan Sargeant"/>
    <s v="Williams Mercedes"/>
    <n v="0"/>
    <s v="No"/>
  </r>
  <r>
    <x v="1"/>
    <s v="Max Verstappen"/>
    <s v="Red Bull Racing Honda RBPT"/>
    <n v="25"/>
    <s v="Yes"/>
  </r>
  <r>
    <x v="1"/>
    <s v="Sergio Perez"/>
    <s v="Red Bull Racing Honda RBPT"/>
    <n v="18"/>
    <s v="No"/>
  </r>
  <r>
    <x v="1"/>
    <s v="Charles Leclerc"/>
    <s v="Ferrari"/>
    <n v="16"/>
    <s v="No"/>
  </r>
  <r>
    <x v="1"/>
    <s v="Oscar Piastri"/>
    <s v="McLaren Mercedes"/>
    <n v="12"/>
    <s v="No"/>
  </r>
  <r>
    <x v="1"/>
    <s v="Fernando Alonso"/>
    <s v="Aston Martin Aramco Mercedes"/>
    <n v="10"/>
    <s v="No"/>
  </r>
  <r>
    <x v="1"/>
    <s v="George Russell"/>
    <s v="Mercedes"/>
    <n v="8"/>
    <s v="No"/>
  </r>
  <r>
    <x v="1"/>
    <s v="Oliver Bearman"/>
    <s v="Ferrari"/>
    <n v="6"/>
    <s v="No"/>
  </r>
  <r>
    <x v="1"/>
    <s v="Lando Norris"/>
    <s v="McLaren Mercedes"/>
    <n v="4"/>
    <s v="No"/>
  </r>
  <r>
    <x v="1"/>
    <s v="Lewis Hamilton"/>
    <s v="Mercedes"/>
    <n v="2"/>
    <s v="No"/>
  </r>
  <r>
    <x v="1"/>
    <s v="Nico Hulkenberg"/>
    <s v="Haas Ferrari"/>
    <n v="1"/>
    <s v="No"/>
  </r>
  <r>
    <x v="1"/>
    <s v="Alexander Albon"/>
    <s v="Williams Mercedes"/>
    <n v="0"/>
    <s v="No"/>
  </r>
  <r>
    <x v="1"/>
    <s v="Kevin Magnussen"/>
    <s v="Haas Ferrari"/>
    <n v="0"/>
    <s v="No"/>
  </r>
  <r>
    <x v="1"/>
    <s v="Esteban Ocon"/>
    <s v="Alpine Renault"/>
    <n v="0"/>
    <s v="No"/>
  </r>
  <r>
    <x v="1"/>
    <s v="Logan Sargeant"/>
    <s v="Williams Mercedes"/>
    <n v="0"/>
    <s v="No"/>
  </r>
  <r>
    <x v="1"/>
    <s v="Yuki Tsunoda"/>
    <s v="RB Honda RBPT"/>
    <n v="0"/>
    <s v="No"/>
  </r>
  <r>
    <x v="1"/>
    <s v="Daniel Ricciardo"/>
    <s v="RB Honda RBPT"/>
    <n v="0"/>
    <s v="No"/>
  </r>
  <r>
    <x v="1"/>
    <s v="Valtteri Bottas"/>
    <s v="Kick Sauber Ferrari"/>
    <n v="0"/>
    <s v="No"/>
  </r>
  <r>
    <x v="1"/>
    <s v="Guanyu Zhou"/>
    <s v="Kick Sauber Ferrari"/>
    <n v="0"/>
    <s v="No"/>
  </r>
  <r>
    <x v="1"/>
    <s v="Lance Stroll"/>
    <s v="Aston Martin Aramco Mercedes"/>
    <n v="0"/>
    <s v="No"/>
  </r>
  <r>
    <x v="1"/>
    <s v="Pierre Gasly"/>
    <s v="Alpine Renault"/>
    <n v="0"/>
    <s v="No"/>
  </r>
  <r>
    <x v="1"/>
    <s v="Carlos Sainz"/>
    <s v="Ferrari"/>
    <n v="25"/>
    <s v="Yes"/>
  </r>
  <r>
    <x v="1"/>
    <s v="Charles Leclerc"/>
    <s v="Ferrari"/>
    <n v="19"/>
    <s v="No"/>
  </r>
  <r>
    <x v="1"/>
    <s v="Lando Norris"/>
    <s v="McLaren Mercedes"/>
    <n v="15"/>
    <s v="No"/>
  </r>
  <r>
    <x v="1"/>
    <s v="Oscar Piastri"/>
    <s v="McLaren Mercedes"/>
    <n v="12"/>
    <s v="No"/>
  </r>
  <r>
    <x v="1"/>
    <s v="Sergio Perez"/>
    <s v="Red Bull Racing Honda RBPT"/>
    <n v="10"/>
    <s v="No"/>
  </r>
  <r>
    <x v="1"/>
    <s v="Lance Stroll"/>
    <s v="Aston Martin Aramco Mercedes"/>
    <n v="8"/>
    <s v="No"/>
  </r>
  <r>
    <x v="1"/>
    <s v="Yuki Tsunoda"/>
    <s v="RB Honda RBPT"/>
    <n v="6"/>
    <s v="No"/>
  </r>
  <r>
    <x v="1"/>
    <s v="Fernando Alonso"/>
    <s v="Aston Martin Aramco Mercedes"/>
    <n v="4"/>
    <s v="No"/>
  </r>
  <r>
    <x v="1"/>
    <s v="Nico Hulkenberg"/>
    <s v="Haas Ferrari"/>
    <n v="2"/>
    <s v="No"/>
  </r>
  <r>
    <x v="1"/>
    <s v="Kevin Magnussen"/>
    <s v="Haas Ferrari"/>
    <n v="1"/>
    <s v="No"/>
  </r>
  <r>
    <x v="1"/>
    <s v="Alexander Albon"/>
    <s v="Williams Mercedes"/>
    <n v="0"/>
    <s v="No"/>
  </r>
  <r>
    <x v="1"/>
    <s v="Daniel Ricciardo"/>
    <s v="RB Honda RBPT"/>
    <n v="0"/>
    <s v="No"/>
  </r>
  <r>
    <x v="1"/>
    <s v="Pierre Gasly"/>
    <s v="Alpine Renault"/>
    <n v="0"/>
    <s v="No"/>
  </r>
  <r>
    <x v="1"/>
    <s v="Valtteri Bottas"/>
    <s v="Kick Sauber Ferrari"/>
    <n v="0"/>
    <s v="No"/>
  </r>
  <r>
    <x v="1"/>
    <s v="Guanyu Zhou"/>
    <s v="Kick Sauber Ferrari"/>
    <n v="0"/>
    <s v="No"/>
  </r>
  <r>
    <x v="1"/>
    <s v="Esteban Ocon"/>
    <s v="Alpine Renault"/>
    <n v="0"/>
    <s v="No"/>
  </r>
  <r>
    <x v="1"/>
    <s v="George Russell"/>
    <s v="Mercedes"/>
    <n v="0"/>
    <s v="No"/>
  </r>
  <r>
    <x v="1"/>
    <s v="Lewis Hamilton"/>
    <s v="Mercedes"/>
    <n v="0"/>
    <s v="No"/>
  </r>
  <r>
    <x v="1"/>
    <s v="Max Verstappen"/>
    <s v="Red Bull Racing Honda RBPT"/>
    <n v="0"/>
    <s v="No"/>
  </r>
  <r>
    <x v="1"/>
    <s v="Max Verstappen"/>
    <s v="Red Bull Racing Honda RBPT"/>
    <n v="26"/>
    <s v="Yes"/>
  </r>
  <r>
    <x v="1"/>
    <s v="Sergio Perez"/>
    <s v="Red Bull Racing Honda RBPT"/>
    <n v="18"/>
    <s v="No"/>
  </r>
  <r>
    <x v="1"/>
    <s v="Carlos Sainz"/>
    <s v="Ferrari"/>
    <n v="15"/>
    <s v="No"/>
  </r>
  <r>
    <x v="1"/>
    <s v="Charles Leclerc"/>
    <s v="Ferrari"/>
    <n v="12"/>
    <s v="No"/>
  </r>
  <r>
    <x v="1"/>
    <s v="Lando Norris"/>
    <s v="McLaren Mercedes"/>
    <n v="10"/>
    <s v="No"/>
  </r>
  <r>
    <x v="1"/>
    <s v="Fernando Alonso"/>
    <s v="Aston Martin Aramco Mercedes"/>
    <n v="8"/>
    <s v="No"/>
  </r>
  <r>
    <x v="1"/>
    <s v="George Russell"/>
    <s v="Mercedes"/>
    <n v="6"/>
    <s v="No"/>
  </r>
  <r>
    <x v="1"/>
    <s v="Oscar Piastri"/>
    <s v="McLaren Mercedes"/>
    <n v="4"/>
    <s v="No"/>
  </r>
  <r>
    <x v="1"/>
    <s v="Lewis Hamilton"/>
    <s v="Mercedes"/>
    <n v="2"/>
    <s v="No"/>
  </r>
  <r>
    <x v="1"/>
    <s v="Yuki Tsunoda"/>
    <s v="RB Honda RBPT"/>
    <n v="1"/>
    <s v="No"/>
  </r>
  <r>
    <x v="1"/>
    <s v="Nico Hulkenberg"/>
    <s v="Haas Ferrari"/>
    <n v="0"/>
    <s v="No"/>
  </r>
  <r>
    <x v="1"/>
    <s v="Lance Stroll"/>
    <s v="Aston Martin Aramco Mercedes"/>
    <n v="0"/>
    <s v="No"/>
  </r>
  <r>
    <x v="1"/>
    <s v="Kevin Magnussen"/>
    <s v="Haas Ferrari"/>
    <n v="0"/>
    <s v="No"/>
  </r>
  <r>
    <x v="1"/>
    <s v="Valtteri Bottas"/>
    <s v="Kick Sauber Ferrari"/>
    <n v="0"/>
    <s v="No"/>
  </r>
  <r>
    <x v="1"/>
    <s v="Esteban Ocon"/>
    <s v="Alpine Renault"/>
    <n v="0"/>
    <s v="No"/>
  </r>
  <r>
    <x v="1"/>
    <s v="Pierre Gasly"/>
    <s v="Alpine Renault"/>
    <n v="0"/>
    <s v="No"/>
  </r>
  <r>
    <x v="1"/>
    <s v="Logan Sargeant"/>
    <s v="Williams Mercedes"/>
    <n v="0"/>
    <s v="No"/>
  </r>
  <r>
    <x v="1"/>
    <s v="Guanyu Zhou"/>
    <s v="Kick Sauber Ferrari"/>
    <n v="0"/>
    <s v="No"/>
  </r>
  <r>
    <x v="1"/>
    <s v="Daniel Ricciardo"/>
    <s v="RB Honda RBPT"/>
    <n v="0"/>
    <s v="No"/>
  </r>
  <r>
    <x v="1"/>
    <s v="Alexander Albon"/>
    <s v="Williams Mercedes"/>
    <n v="0"/>
    <s v="No"/>
  </r>
  <r>
    <x v="1"/>
    <s v="Max Verstappen"/>
    <s v="Red Bull Racing Honda RBPT"/>
    <n v="25"/>
    <s v="Yes"/>
  </r>
  <r>
    <x v="1"/>
    <s v="Lando Norris"/>
    <s v="McLaren Mercedes"/>
    <n v="18"/>
    <s v="No"/>
  </r>
  <r>
    <x v="1"/>
    <s v="Sergio Perez"/>
    <s v="Red Bull Racing Honda RBPT"/>
    <n v="15"/>
    <s v="No"/>
  </r>
  <r>
    <x v="1"/>
    <s v="Charles Leclerc"/>
    <s v="Ferrari"/>
    <n v="12"/>
    <s v="No"/>
  </r>
  <r>
    <x v="1"/>
    <s v="Carlos Sainz"/>
    <s v="Ferrari"/>
    <n v="10"/>
    <s v="No"/>
  </r>
  <r>
    <x v="1"/>
    <s v="George Russell"/>
    <s v="Mercedes"/>
    <n v="8"/>
    <s v="No"/>
  </r>
  <r>
    <x v="1"/>
    <s v="Fernando Alonso"/>
    <s v="Aston Martin Aramco Mercedes"/>
    <n v="7"/>
    <s v="No"/>
  </r>
  <r>
    <x v="1"/>
    <s v="Oscar Piastri"/>
    <s v="McLaren Mercedes"/>
    <n v="4"/>
    <s v="No"/>
  </r>
  <r>
    <x v="1"/>
    <s v="Lewis Hamilton"/>
    <s v="Mercedes"/>
    <n v="2"/>
    <s v="No"/>
  </r>
  <r>
    <x v="1"/>
    <s v="Nico Hulkenberg"/>
    <s v="Haas Ferrari"/>
    <n v="1"/>
    <s v="No"/>
  </r>
  <r>
    <x v="1"/>
    <s v="Esteban Ocon"/>
    <s v="Alpine Renault"/>
    <n v="0"/>
    <s v="No"/>
  </r>
  <r>
    <x v="1"/>
    <s v="Alexander Albon"/>
    <s v="Williams Mercedes"/>
    <n v="0"/>
    <s v="No"/>
  </r>
  <r>
    <x v="1"/>
    <s v="Pierre Gasly"/>
    <s v="Alpine Renault"/>
    <n v="0"/>
    <s v="No"/>
  </r>
  <r>
    <x v="1"/>
    <s v="Guanyu Zhou"/>
    <s v="Kick Sauber Ferrari"/>
    <n v="0"/>
    <s v="No"/>
  </r>
  <r>
    <x v="1"/>
    <s v="Lance Stroll"/>
    <s v="Aston Martin Aramco Mercedes"/>
    <n v="0"/>
    <s v="No"/>
  </r>
  <r>
    <x v="1"/>
    <s v="Kevin Magnussen"/>
    <s v="Haas Ferrari"/>
    <n v="0"/>
    <s v="No"/>
  </r>
  <r>
    <x v="1"/>
    <s v="Logan Sargeant"/>
    <s v="Williams Mercedes"/>
    <n v="0"/>
    <s v="No"/>
  </r>
  <r>
    <x v="1"/>
    <s v="Daniel Ricciardo"/>
    <s v="RB Honda RBPT"/>
    <n v="0"/>
    <s v="No"/>
  </r>
  <r>
    <x v="1"/>
    <s v="Yuki Tsunoda"/>
    <s v="RB Honda RBPT"/>
    <n v="0"/>
    <s v="No"/>
  </r>
  <r>
    <x v="1"/>
    <s v="Valtteri Bottas"/>
    <s v="Kick Sauber Ferrari"/>
    <n v="0"/>
    <s v="No"/>
  </r>
  <r>
    <x v="1"/>
    <s v="Lando Norris"/>
    <s v="McLaren Mercedes"/>
    <n v="25"/>
    <s v="Yes"/>
  </r>
  <r>
    <x v="1"/>
    <s v="Max Verstappen"/>
    <s v="Red Bull Racing Honda RBPT"/>
    <n v="18"/>
    <s v="No"/>
  </r>
  <r>
    <x v="1"/>
    <s v="Charles Leclerc"/>
    <s v="Ferrari"/>
    <n v="15"/>
    <s v="No"/>
  </r>
  <r>
    <x v="1"/>
    <s v="Sergio Perez"/>
    <s v="Red Bull Racing Honda RBPT"/>
    <n v="12"/>
    <s v="No"/>
  </r>
  <r>
    <x v="1"/>
    <s v="Carlos Sainz"/>
    <s v="Ferrari"/>
    <n v="10"/>
    <s v="No"/>
  </r>
  <r>
    <x v="1"/>
    <s v="Lewis Hamilton"/>
    <s v="Mercedes"/>
    <n v="8"/>
    <s v="No"/>
  </r>
  <r>
    <x v="1"/>
    <s v="Yuki Tsunoda"/>
    <s v="RB Honda RBPT"/>
    <n v="6"/>
    <s v="No"/>
  </r>
  <r>
    <x v="1"/>
    <s v="George Russell"/>
    <s v="Mercedes"/>
    <n v="4"/>
    <s v="No"/>
  </r>
  <r>
    <x v="1"/>
    <s v="Fernando Alonso"/>
    <s v="Aston Martin Aramco Mercedes"/>
    <n v="2"/>
    <s v="No"/>
  </r>
  <r>
    <x v="1"/>
    <s v="Esteban Ocon"/>
    <s v="Alpine Renault"/>
    <n v="1"/>
    <s v="No"/>
  </r>
  <r>
    <x v="1"/>
    <s v="Nico Hulkenberg"/>
    <s v="Haas Ferrari"/>
    <n v="0"/>
    <s v="No"/>
  </r>
  <r>
    <x v="1"/>
    <s v="Pierre Gasly"/>
    <s v="Alpine Renault"/>
    <n v="0"/>
    <s v="No"/>
  </r>
  <r>
    <x v="1"/>
    <s v="Oscar Piastri"/>
    <s v="McLaren Mercedes"/>
    <n v="0"/>
    <s v="No"/>
  </r>
  <r>
    <x v="1"/>
    <s v="Guanyu Zhou"/>
    <s v="Kick Sauber Ferrari"/>
    <n v="0"/>
    <s v="No"/>
  </r>
  <r>
    <x v="1"/>
    <s v="Daniel Ricciardo"/>
    <s v="RB Honda RBPT"/>
    <n v="0"/>
    <s v="No"/>
  </r>
  <r>
    <x v="1"/>
    <s v="Valtteri Bottas"/>
    <s v="Kick Sauber Ferrari"/>
    <n v="0"/>
    <s v="No"/>
  </r>
  <r>
    <x v="1"/>
    <s v="Lance Stroll"/>
    <s v="Aston Martin Aramco Mercedes"/>
    <n v="0"/>
    <s v="No"/>
  </r>
  <r>
    <x v="1"/>
    <s v="Alexander Albon"/>
    <s v="Williams Mercedes"/>
    <n v="0"/>
    <s v="No"/>
  </r>
  <r>
    <x v="1"/>
    <s v="Kevin Magnussen"/>
    <s v="Haas Ferrari"/>
    <n v="0"/>
    <s v="No"/>
  </r>
  <r>
    <x v="1"/>
    <s v="Logan Sargeant"/>
    <s v="Williams Mercedes"/>
    <n v="0"/>
    <s v="No"/>
  </r>
  <r>
    <x v="1"/>
    <s v="Max Verstappen"/>
    <s v="Red Bull Racing Honda RBPT"/>
    <n v="25"/>
    <s v="Yes"/>
  </r>
  <r>
    <x v="1"/>
    <s v="Lando Norris"/>
    <s v="McLaren Mercedes"/>
    <n v="18"/>
    <s v="No"/>
  </r>
  <r>
    <x v="1"/>
    <s v="Charles Leclerc"/>
    <s v="Ferrari"/>
    <n v="15"/>
    <s v="No"/>
  </r>
  <r>
    <x v="1"/>
    <s v="Oscar Piastri"/>
    <s v="McLaren Mercedes"/>
    <n v="12"/>
    <s v="No"/>
  </r>
  <r>
    <x v="1"/>
    <s v="Carlos Sainz"/>
    <s v="Ferrari"/>
    <n v="10"/>
    <s v="No"/>
  </r>
  <r>
    <x v="1"/>
    <s v="Lewis Hamilton"/>
    <s v="Mercedes"/>
    <n v="8"/>
    <s v="No"/>
  </r>
  <r>
    <x v="1"/>
    <s v="George Russell"/>
    <s v="Mercedes"/>
    <n v="7"/>
    <s v="No"/>
  </r>
  <r>
    <x v="1"/>
    <s v="Sergio Perez"/>
    <s v="Red Bull Racing Honda RBPT"/>
    <n v="4"/>
    <s v="No"/>
  </r>
  <r>
    <x v="1"/>
    <s v="Lance Stroll"/>
    <s v="Aston Martin Aramco Mercedes"/>
    <n v="2"/>
    <s v="No"/>
  </r>
  <r>
    <x v="1"/>
    <s v="Yuki Tsunoda"/>
    <s v="RB Honda RBPT"/>
    <n v="1"/>
    <s v="No"/>
  </r>
  <r>
    <x v="1"/>
    <s v="Nico Hulkenberg"/>
    <s v="Haas Ferrari"/>
    <n v="0"/>
    <s v="No"/>
  </r>
  <r>
    <x v="1"/>
    <s v="Kevin Magnussen"/>
    <s v="Haas Ferrari"/>
    <n v="0"/>
    <s v="No"/>
  </r>
  <r>
    <x v="1"/>
    <s v="Daniel Ricciardo"/>
    <s v="RB Honda RBPT"/>
    <n v="0"/>
    <s v="No"/>
  </r>
  <r>
    <x v="1"/>
    <s v="Esteban Ocon"/>
    <s v="Alpine Renault"/>
    <n v="0"/>
    <s v="No"/>
  </r>
  <r>
    <x v="1"/>
    <s v="Guanyu Zhou"/>
    <s v="Kick Sauber Ferrari"/>
    <n v="0"/>
    <s v="No"/>
  </r>
  <r>
    <x v="1"/>
    <s v="Pierre Gasly"/>
    <s v="Alpine Renault"/>
    <n v="0"/>
    <s v="No"/>
  </r>
  <r>
    <x v="1"/>
    <s v="Logan Sargeant"/>
    <s v="Williams Mercedes"/>
    <n v="0"/>
    <s v="No"/>
  </r>
  <r>
    <x v="1"/>
    <s v="Valtteri Bottas"/>
    <s v="Kick Sauber Ferrari"/>
    <n v="0"/>
    <s v="No"/>
  </r>
  <r>
    <x v="1"/>
    <s v="Fernando Alonso"/>
    <s v="Aston Martin Aramco Mercedes"/>
    <n v="0"/>
    <s v="No"/>
  </r>
  <r>
    <x v="1"/>
    <s v="Alexander Albon"/>
    <s v="Williams Mercedes"/>
    <n v="0"/>
    <s v="No"/>
  </r>
  <r>
    <x v="1"/>
    <s v="Charles Leclerc"/>
    <s v="Ferrari"/>
    <n v="25"/>
    <s v="Yes"/>
  </r>
  <r>
    <x v="1"/>
    <s v="Oscar Piastri"/>
    <s v="McLaren Mercedes"/>
    <n v="18"/>
    <s v="No"/>
  </r>
  <r>
    <x v="1"/>
    <s v="Carlos Sainz"/>
    <s v="Ferrari"/>
    <n v="15"/>
    <s v="No"/>
  </r>
  <r>
    <x v="1"/>
    <s v="Lando Norris"/>
    <s v="McLaren Mercedes"/>
    <n v="12"/>
    <s v="No"/>
  </r>
  <r>
    <x v="1"/>
    <s v="George Russell"/>
    <s v="Mercedes"/>
    <n v="10"/>
    <s v="No"/>
  </r>
  <r>
    <x v="1"/>
    <s v="Max Verstappen"/>
    <s v="Red Bull Racing Honda RBPT"/>
    <n v="8"/>
    <s v="No"/>
  </r>
  <r>
    <x v="1"/>
    <s v="Lewis Hamilton"/>
    <s v="Mercedes"/>
    <n v="7"/>
    <s v="No"/>
  </r>
  <r>
    <x v="1"/>
    <s v="Yuki Tsunoda"/>
    <s v="RB Honda RBPT"/>
    <n v="4"/>
    <s v="No"/>
  </r>
  <r>
    <x v="1"/>
    <s v="Alexander Albon"/>
    <s v="Williams Mercedes"/>
    <n v="2"/>
    <s v="No"/>
  </r>
  <r>
    <x v="1"/>
    <s v="Pierre Gasly"/>
    <s v="Alpine Renault"/>
    <n v="1"/>
    <s v="No"/>
  </r>
  <r>
    <x v="1"/>
    <s v="Fernando Alonso"/>
    <s v="Aston Martin Aramco Mercedes"/>
    <n v="0"/>
    <s v="No"/>
  </r>
  <r>
    <x v="1"/>
    <s v="Daniel Ricciardo"/>
    <s v="RB Honda RBPT"/>
    <n v="0"/>
    <s v="No"/>
  </r>
  <r>
    <x v="1"/>
    <s v="Valtteri Bottas"/>
    <s v="Kick Sauber Ferrari"/>
    <n v="0"/>
    <s v="No"/>
  </r>
  <r>
    <x v="1"/>
    <s v="Lance Stroll"/>
    <s v="Aston Martin Aramco Mercedes"/>
    <n v="0"/>
    <s v="No"/>
  </r>
  <r>
    <x v="1"/>
    <s v="Logan Sargeant"/>
    <s v="Williams Mercedes"/>
    <n v="0"/>
    <s v="No"/>
  </r>
  <r>
    <x v="1"/>
    <s v="Guanyu Zhou"/>
    <s v="Kick Sauber Ferrari"/>
    <n v="0"/>
    <s v="No"/>
  </r>
  <r>
    <x v="1"/>
    <s v="Esteban Ocon"/>
    <s v="Alpine Renault"/>
    <n v="0"/>
    <s v="No"/>
  </r>
  <r>
    <x v="1"/>
    <s v="Sergio Perez"/>
    <s v="Red Bull Racing Honda RBPT"/>
    <n v="0"/>
    <s v="No"/>
  </r>
  <r>
    <x v="1"/>
    <s v="Nico Hulkenberg"/>
    <s v="Haas Ferrari"/>
    <n v="0"/>
    <s v="No"/>
  </r>
  <r>
    <x v="1"/>
    <s v="Kevin Magnussen"/>
    <s v="Haas Ferrari"/>
    <n v="0"/>
    <s v="No"/>
  </r>
  <r>
    <x v="1"/>
    <s v="Max Verstappen"/>
    <s v="Red Bull Racing Honda RBPT"/>
    <n v="25"/>
    <s v="Yes"/>
  </r>
  <r>
    <x v="1"/>
    <s v="Lando Norris"/>
    <s v="McLaren Mercedes"/>
    <n v="19"/>
    <s v="No"/>
  </r>
  <r>
    <x v="1"/>
    <s v="Lewis Hamilton"/>
    <s v="Mercedes"/>
    <n v="15"/>
    <s v="No"/>
  </r>
  <r>
    <x v="1"/>
    <s v="George Russell"/>
    <s v="Mercedes"/>
    <n v="12"/>
    <s v="No"/>
  </r>
  <r>
    <x v="1"/>
    <s v="Charles Leclerc"/>
    <s v="Ferrari"/>
    <n v="10"/>
    <s v="No"/>
  </r>
  <r>
    <x v="1"/>
    <s v="Carlos Sainz"/>
    <s v="Ferrari"/>
    <n v="8"/>
    <s v="No"/>
  </r>
  <r>
    <x v="1"/>
    <s v="Oscar Piastri"/>
    <s v="McLaren Mercedes"/>
    <n v="6"/>
    <s v="No"/>
  </r>
  <r>
    <x v="1"/>
    <s v="Sergio Perez"/>
    <s v="Red Bull Racing Honda RBPT"/>
    <n v="4"/>
    <s v="No"/>
  </r>
  <r>
    <x v="1"/>
    <s v="Pierre Gasly"/>
    <s v="Alpine Renault"/>
    <n v="2"/>
    <s v="No"/>
  </r>
  <r>
    <x v="1"/>
    <s v="Esteban Ocon"/>
    <s v="Alpine Renault"/>
    <n v="1"/>
    <s v="No"/>
  </r>
  <r>
    <x v="1"/>
    <s v="Nico Hulkenberg"/>
    <s v="Haas Ferrari"/>
    <n v="0"/>
    <s v="No"/>
  </r>
  <r>
    <x v="1"/>
    <s v="Fernando Alonso"/>
    <s v="Aston Martin Aramco Mercedes"/>
    <n v="0"/>
    <s v="No"/>
  </r>
  <r>
    <x v="1"/>
    <s v="Guanyu Zhou"/>
    <s v="Kick Sauber Ferrari"/>
    <n v="0"/>
    <s v="No"/>
  </r>
  <r>
    <x v="1"/>
    <s v="Lance Stroll"/>
    <s v="Aston Martin Aramco Mercedes"/>
    <n v="0"/>
    <s v="No"/>
  </r>
  <r>
    <x v="1"/>
    <s v="Daniel Ricciardo"/>
    <s v="RB Honda RBPT"/>
    <n v="0"/>
    <s v="No"/>
  </r>
  <r>
    <x v="1"/>
    <s v="Valtteri Bottas"/>
    <s v="Kick Sauber Ferrari"/>
    <n v="0"/>
    <s v="No"/>
  </r>
  <r>
    <x v="1"/>
    <s v="Kevin Magnussen"/>
    <s v="Haas Ferrari"/>
    <n v="0"/>
    <s v="No"/>
  </r>
  <r>
    <x v="1"/>
    <s v="Alexander Albon"/>
    <s v="Williams Mercedes"/>
    <n v="0"/>
    <s v="No"/>
  </r>
  <r>
    <x v="1"/>
    <s v="Yuki Tsunoda"/>
    <s v="RB Honda RBPT"/>
    <n v="0"/>
    <s v="No"/>
  </r>
  <r>
    <x v="1"/>
    <s v="Logan Sargeant"/>
    <s v="Williams Mercedes"/>
    <n v="0"/>
    <s v="No"/>
  </r>
  <r>
    <x v="1"/>
    <s v="Carlos Sainz"/>
    <s v="Ferrari"/>
    <n v="25"/>
    <s v="Yes"/>
  </r>
  <r>
    <x v="1"/>
    <s v="Lando Norris"/>
    <s v="McLaren Mercedes"/>
    <n v="18"/>
    <s v="No"/>
  </r>
  <r>
    <x v="1"/>
    <s v="Charles Leclerc"/>
    <s v="Ferrari"/>
    <n v="16"/>
    <s v="No"/>
  </r>
  <r>
    <x v="1"/>
    <s v="Lewis Hamilton"/>
    <s v="Mercedes"/>
    <n v="12"/>
    <s v="No"/>
  </r>
  <r>
    <x v="1"/>
    <s v="George Russell"/>
    <s v="Mercedes"/>
    <n v="10"/>
    <s v="No"/>
  </r>
  <r>
    <x v="1"/>
    <s v="Max Verstappen"/>
    <s v="Red Bull Racing Honda RBPT"/>
    <n v="8"/>
    <s v="No"/>
  </r>
  <r>
    <x v="1"/>
    <s v="Kevin Magnussen"/>
    <s v="Haas Ferrari"/>
    <n v="6"/>
    <s v="No"/>
  </r>
  <r>
    <x v="1"/>
    <s v="Oscar Piastri"/>
    <s v="McLaren Mercedes"/>
    <n v="4"/>
    <s v="No"/>
  </r>
  <r>
    <x v="1"/>
    <s v="Nico Hulkenberg"/>
    <s v="Haas Ferrari"/>
    <n v="2"/>
    <s v="No"/>
  </r>
  <r>
    <x v="1"/>
    <s v="Pierre Gasly"/>
    <s v="Alpine Renault"/>
    <n v="1"/>
    <s v="No"/>
  </r>
  <r>
    <x v="1"/>
    <s v="Lance Stroll"/>
    <s v="Aston Martin Aramco Mercedes"/>
    <n v="0"/>
    <s v="No"/>
  </r>
  <r>
    <x v="1"/>
    <s v="Franco Colapinto"/>
    <s v="Williams Mercedes"/>
    <n v="0"/>
    <s v="No"/>
  </r>
  <r>
    <x v="1"/>
    <s v="Esteban Ocon"/>
    <s v="Alpine Renault"/>
    <n v="0"/>
    <s v="No"/>
  </r>
  <r>
    <x v="1"/>
    <s v="Valtteri Bottas"/>
    <s v="Kick Sauber Ferrari"/>
    <n v="0"/>
    <s v="No"/>
  </r>
  <r>
    <x v="1"/>
    <s v="Guanyu Zhou"/>
    <s v="Kick Sauber Ferrari"/>
    <n v="0"/>
    <s v="No"/>
  </r>
  <r>
    <x v="1"/>
    <s v="Liam Lawson"/>
    <s v="RB Honda RBPT"/>
    <n v="0"/>
    <s v="No"/>
  </r>
  <r>
    <x v="1"/>
    <s v="Sergio Perez"/>
    <s v="Red Bull Racing Honda RBPT"/>
    <n v="0"/>
    <s v="No"/>
  </r>
  <r>
    <x v="1"/>
    <s v="Fernando Alonso"/>
    <s v="Aston Martin Aramco Mercedes"/>
    <n v="0"/>
    <s v="No"/>
  </r>
  <r>
    <x v="1"/>
    <s v="Alexander Albon"/>
    <s v="Williams Mercedes"/>
    <n v="0"/>
    <s v="No"/>
  </r>
  <r>
    <x v="1"/>
    <s v="Yuki Tsunoda"/>
    <s v="RB Honda RBPT"/>
    <n v="0"/>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x v="0"/>
    <s v="1"/>
    <n v="1"/>
    <n v="4"/>
    <x v="0"/>
    <x v="0"/>
    <n v="1"/>
    <n v="57"/>
    <s v="1:42:06.304"/>
    <n v="25"/>
    <s v="Yes"/>
    <s v="1:22.167"/>
    <x v="0"/>
    <x v="0"/>
    <n v="0"/>
    <x v="0"/>
    <s v="Yes"/>
    <n v="2025"/>
  </r>
  <r>
    <x v="0"/>
    <s v="2"/>
    <n v="2"/>
    <n v="1"/>
    <x v="1"/>
    <x v="1"/>
    <n v="3"/>
    <n v="57"/>
    <s v="+0.895"/>
    <n v="18"/>
    <s v="No"/>
    <s v="1:23.081"/>
    <x v="1"/>
    <x v="0"/>
    <n v="1"/>
    <x v="1"/>
    <s v="Yes"/>
    <n v="2025"/>
  </r>
  <r>
    <x v="0"/>
    <s v="3"/>
    <n v="3"/>
    <n v="63"/>
    <x v="2"/>
    <x v="2"/>
    <n v="4"/>
    <n v="57"/>
    <s v="+8.481"/>
    <n v="15"/>
    <s v="No"/>
    <s v="1:25.065"/>
    <x v="1"/>
    <x v="0"/>
    <n v="1"/>
    <x v="1"/>
    <s v="Yes"/>
    <n v="2025"/>
  </r>
  <r>
    <x v="0"/>
    <s v="4"/>
    <n v="4"/>
    <n v="12"/>
    <x v="3"/>
    <x v="2"/>
    <n v="16"/>
    <n v="57"/>
    <s v="+10.135"/>
    <n v="12"/>
    <s v="No"/>
    <s v="1:24.901"/>
    <x v="1"/>
    <x v="1"/>
    <n v="12"/>
    <x v="1"/>
    <s v="Yes"/>
    <n v="2025"/>
  </r>
  <r>
    <x v="0"/>
    <s v="5"/>
    <n v="5"/>
    <n v="23"/>
    <x v="4"/>
    <x v="3"/>
    <n v="6"/>
    <n v="57"/>
    <s v="+12.773"/>
    <n v="10"/>
    <s v="No"/>
    <s v="1:24.597"/>
    <x v="1"/>
    <x v="1"/>
    <n v="1"/>
    <x v="1"/>
    <s v="Yes"/>
    <n v="2025"/>
  </r>
  <r>
    <x v="0"/>
    <s v="6"/>
    <n v="6"/>
    <n v="18"/>
    <x v="5"/>
    <x v="4"/>
    <n v="13"/>
    <n v="57"/>
    <s v="+17.413"/>
    <n v="8"/>
    <s v="No"/>
    <s v="1:25.538"/>
    <x v="1"/>
    <x v="1"/>
    <n v="7"/>
    <x v="1"/>
    <s v="Yes"/>
    <n v="2025"/>
  </r>
  <r>
    <x v="0"/>
    <s v="7"/>
    <n v="7"/>
    <n v="27"/>
    <x v="6"/>
    <x v="5"/>
    <n v="17"/>
    <n v="57"/>
    <s v="+18.423"/>
    <n v="6"/>
    <s v="No"/>
    <s v="1:25.243"/>
    <x v="1"/>
    <x v="1"/>
    <n v="10"/>
    <x v="1"/>
    <s v="Yes"/>
    <n v="2025"/>
  </r>
  <r>
    <x v="0"/>
    <s v="8"/>
    <n v="8"/>
    <n v="16"/>
    <x v="7"/>
    <x v="6"/>
    <n v="7"/>
    <n v="57"/>
    <s v="+19.826"/>
    <n v="4"/>
    <s v="No"/>
    <s v="1:25.271"/>
    <x v="1"/>
    <x v="1"/>
    <n v="-1"/>
    <x v="1"/>
    <s v="Yes"/>
    <n v="2025"/>
  </r>
  <r>
    <x v="0"/>
    <s v="9"/>
    <n v="9"/>
    <n v="81"/>
    <x v="8"/>
    <x v="0"/>
    <n v="2"/>
    <n v="57"/>
    <s v="+20.448"/>
    <n v="2"/>
    <s v="No"/>
    <s v="1:23.242"/>
    <x v="1"/>
    <x v="1"/>
    <n v="-7"/>
    <x v="1"/>
    <s v="Yes"/>
    <n v="2025"/>
  </r>
  <r>
    <x v="0"/>
    <s v="10"/>
    <n v="10"/>
    <n v="44"/>
    <x v="9"/>
    <x v="6"/>
    <n v="8"/>
    <n v="57"/>
    <s v="+22.473"/>
    <n v="1"/>
    <s v="No"/>
    <s v="1:24.218"/>
    <x v="1"/>
    <x v="1"/>
    <n v="-2"/>
    <x v="1"/>
    <s v="Yes"/>
    <n v="2025"/>
  </r>
  <r>
    <x v="0"/>
    <s v="11"/>
    <n v="11"/>
    <n v="10"/>
    <x v="10"/>
    <x v="7"/>
    <n v="9"/>
    <n v="57"/>
    <s v="+26.502"/>
    <n v="0"/>
    <s v="No"/>
    <s v="1:25.020"/>
    <x v="1"/>
    <x v="1"/>
    <n v="-2"/>
    <x v="1"/>
    <s v="No"/>
    <n v="2025"/>
  </r>
  <r>
    <x v="0"/>
    <s v="12"/>
    <n v="12"/>
    <n v="22"/>
    <x v="11"/>
    <x v="8"/>
    <n v="5"/>
    <n v="57"/>
    <s v="+29.884"/>
    <n v="0"/>
    <s v="No"/>
    <s v="1:24.194"/>
    <x v="1"/>
    <x v="1"/>
    <n v="-7"/>
    <x v="1"/>
    <s v="No"/>
    <n v="2025"/>
  </r>
  <r>
    <x v="0"/>
    <s v="13"/>
    <n v="13"/>
    <n v="31"/>
    <x v="12"/>
    <x v="9"/>
    <n v="19"/>
    <n v="57"/>
    <s v="+33.161"/>
    <n v="0"/>
    <s v="No"/>
    <s v="1:26.764"/>
    <x v="1"/>
    <x v="1"/>
    <n v="6"/>
    <x v="1"/>
    <s v="No"/>
    <n v="2025"/>
  </r>
  <r>
    <x v="0"/>
    <s v="14"/>
    <n v="14"/>
    <n v="87"/>
    <x v="13"/>
    <x v="9"/>
    <n v="20"/>
    <n v="57"/>
    <s v="+40.351"/>
    <n v="0"/>
    <s v="No"/>
    <s v="1:27.603"/>
    <x v="1"/>
    <x v="1"/>
    <n v="6"/>
    <x v="1"/>
    <s v="No"/>
    <n v="2025"/>
  </r>
  <r>
    <x v="0"/>
    <s v="NC"/>
    <s v=""/>
    <n v="30"/>
    <x v="14"/>
    <x v="1"/>
    <n v="18"/>
    <n v="46"/>
    <s v="DNF"/>
    <n v="0"/>
    <s v="No"/>
    <s v="1:22.970"/>
    <x v="1"/>
    <x v="1"/>
    <n v="0"/>
    <x v="1"/>
    <s v="No"/>
    <n v="2025"/>
  </r>
  <r>
    <x v="0"/>
    <s v="NC"/>
    <s v=""/>
    <n v="5"/>
    <x v="15"/>
    <x v="5"/>
    <n v="15"/>
    <n v="45"/>
    <s v="DNF"/>
    <n v="0"/>
    <s v="No"/>
    <s v="1:24.192"/>
    <x v="1"/>
    <x v="1"/>
    <n v="0"/>
    <x v="1"/>
    <s v="No"/>
    <n v="2025"/>
  </r>
  <r>
    <x v="0"/>
    <s v="NC"/>
    <s v=""/>
    <n v="14"/>
    <x v="16"/>
    <x v="4"/>
    <n v="12"/>
    <n v="32"/>
    <s v="DNF"/>
    <n v="0"/>
    <s v="No"/>
    <s v="1:28.819"/>
    <x v="1"/>
    <x v="1"/>
    <n v="0"/>
    <x v="1"/>
    <s v="No"/>
    <n v="2025"/>
  </r>
  <r>
    <x v="0"/>
    <s v="NC"/>
    <s v=""/>
    <n v="55"/>
    <x v="17"/>
    <x v="3"/>
    <n v="10"/>
    <n v="0"/>
    <s v="DNF"/>
    <n v="0"/>
    <s v="No"/>
    <s v=""/>
    <x v="1"/>
    <x v="1"/>
    <n v="0"/>
    <x v="1"/>
    <s v="No"/>
    <n v="2025"/>
  </r>
  <r>
    <x v="0"/>
    <s v="NC"/>
    <s v=""/>
    <n v="7"/>
    <x v="18"/>
    <x v="7"/>
    <n v="14"/>
    <n v="0"/>
    <s v="DNF"/>
    <n v="0"/>
    <s v="No"/>
    <s v=""/>
    <x v="1"/>
    <x v="1"/>
    <n v="0"/>
    <x v="1"/>
    <s v="No"/>
    <n v="2025"/>
  </r>
  <r>
    <x v="0"/>
    <s v="NC"/>
    <s v=""/>
    <n v="6"/>
    <x v="19"/>
    <x v="8"/>
    <n v="11"/>
    <n v="0"/>
    <s v="DNF"/>
    <n v="0"/>
    <s v="No"/>
    <s v=""/>
    <x v="1"/>
    <x v="1"/>
    <n v="0"/>
    <x v="1"/>
    <s v="No"/>
    <n v="2025"/>
  </r>
  <r>
    <x v="1"/>
    <s v="1"/>
    <n v="1"/>
    <n v="81"/>
    <x v="8"/>
    <x v="0"/>
    <n v="1"/>
    <n v="56"/>
    <s v="1:30:55.026"/>
    <n v="25"/>
    <s v="No"/>
    <s v="1:35.520"/>
    <x v="0"/>
    <x v="0"/>
    <n v="0"/>
    <x v="0"/>
    <s v="Yes"/>
    <n v="2025"/>
  </r>
  <r>
    <x v="1"/>
    <s v="2"/>
    <n v="2"/>
    <n v="4"/>
    <x v="0"/>
    <x v="0"/>
    <n v="3"/>
    <n v="56"/>
    <s v="+9.748"/>
    <n v="18"/>
    <s v="No"/>
    <s v="1:35.454"/>
    <x v="1"/>
    <x v="0"/>
    <n v="1"/>
    <x v="1"/>
    <s v="Yes"/>
    <n v="2025"/>
  </r>
  <r>
    <x v="1"/>
    <s v="3"/>
    <n v="3"/>
    <n v="63"/>
    <x v="2"/>
    <x v="2"/>
    <n v="2"/>
    <n v="56"/>
    <s v="+11.097"/>
    <n v="15"/>
    <s v="No"/>
    <s v="1:35.816"/>
    <x v="1"/>
    <x v="0"/>
    <n v="-1"/>
    <x v="1"/>
    <s v="Yes"/>
    <n v="2025"/>
  </r>
  <r>
    <x v="1"/>
    <s v="4"/>
    <n v="4"/>
    <n v="1"/>
    <x v="1"/>
    <x v="1"/>
    <n v="4"/>
    <n v="56"/>
    <s v="+16.656"/>
    <n v="12"/>
    <s v="No"/>
    <s v="1:35.488"/>
    <x v="1"/>
    <x v="1"/>
    <n v="0"/>
    <x v="1"/>
    <s v="Yes"/>
    <n v="2025"/>
  </r>
  <r>
    <x v="1"/>
    <s v="5"/>
    <n v="5"/>
    <n v="31"/>
    <x v="12"/>
    <x v="9"/>
    <n v="11"/>
    <n v="56"/>
    <s v="+49.969"/>
    <n v="10"/>
    <s v="No"/>
    <s v="1:35.740"/>
    <x v="1"/>
    <x v="1"/>
    <n v="6"/>
    <x v="1"/>
    <s v="Yes"/>
    <n v="2025"/>
  </r>
  <r>
    <x v="1"/>
    <s v="6"/>
    <n v="6"/>
    <n v="12"/>
    <x v="3"/>
    <x v="2"/>
    <n v="8"/>
    <n v="56"/>
    <s v="+53.748"/>
    <n v="8"/>
    <s v="No"/>
    <s v="1:36.046"/>
    <x v="1"/>
    <x v="1"/>
    <n v="2"/>
    <x v="1"/>
    <s v="Yes"/>
    <n v="2025"/>
  </r>
  <r>
    <x v="1"/>
    <s v="7"/>
    <n v="7"/>
    <n v="23"/>
    <x v="4"/>
    <x v="3"/>
    <n v="10"/>
    <n v="56"/>
    <s v="+56.321"/>
    <n v="6"/>
    <s v="No"/>
    <s v="1:36.254"/>
    <x v="1"/>
    <x v="1"/>
    <n v="3"/>
    <x v="1"/>
    <s v="Yes"/>
    <n v="2025"/>
  </r>
  <r>
    <x v="1"/>
    <s v="8"/>
    <n v="8"/>
    <n v="87"/>
    <x v="13"/>
    <x v="9"/>
    <n v="17"/>
    <n v="56"/>
    <s v="+61.303"/>
    <n v="4"/>
    <s v="No"/>
    <s v="1:36.363"/>
    <x v="1"/>
    <x v="1"/>
    <n v="9"/>
    <x v="1"/>
    <s v="Yes"/>
    <n v="2025"/>
  </r>
  <r>
    <x v="1"/>
    <s v="9"/>
    <n v="9"/>
    <n v="18"/>
    <x v="5"/>
    <x v="4"/>
    <n v="14"/>
    <n v="56"/>
    <s v="+70.204"/>
    <n v="2"/>
    <s v="No"/>
    <s v="1:36.044"/>
    <x v="1"/>
    <x v="1"/>
    <n v="5"/>
    <x v="1"/>
    <s v="Yes"/>
    <n v="2025"/>
  </r>
  <r>
    <x v="1"/>
    <s v="10"/>
    <n v="10"/>
    <n v="55"/>
    <x v="17"/>
    <x v="3"/>
    <n v="15"/>
    <n v="56"/>
    <s v="+76.387"/>
    <n v="1"/>
    <s v="No"/>
    <s v="1:36.779"/>
    <x v="1"/>
    <x v="1"/>
    <n v="5"/>
    <x v="1"/>
    <s v="Yes"/>
    <n v="2025"/>
  </r>
  <r>
    <x v="1"/>
    <s v="11"/>
    <n v="11"/>
    <n v="6"/>
    <x v="19"/>
    <x v="8"/>
    <n v="7"/>
    <n v="56"/>
    <s v="+78.875"/>
    <n v="0"/>
    <s v="No"/>
    <s v="1:35.868"/>
    <x v="1"/>
    <x v="1"/>
    <n v="-4"/>
    <x v="1"/>
    <s v="No"/>
    <n v="2025"/>
  </r>
  <r>
    <x v="1"/>
    <s v="12"/>
    <n v="12"/>
    <n v="30"/>
    <x v="14"/>
    <x v="1"/>
    <n v="20"/>
    <n v="56"/>
    <s v="+81.147"/>
    <n v="0"/>
    <s v="No"/>
    <s v="1:35.985"/>
    <x v="1"/>
    <x v="1"/>
    <n v="8"/>
    <x v="1"/>
    <s v="No"/>
    <n v="2025"/>
  </r>
  <r>
    <x v="1"/>
    <s v="13"/>
    <n v="13"/>
    <n v="7"/>
    <x v="18"/>
    <x v="7"/>
    <n v="18"/>
    <n v="56"/>
    <s v="+88.401"/>
    <n v="0"/>
    <s v="No"/>
    <s v="1:36.424"/>
    <x v="1"/>
    <x v="1"/>
    <n v="5"/>
    <x v="1"/>
    <s v="No"/>
    <n v="2025"/>
  </r>
  <r>
    <x v="1"/>
    <s v="14"/>
    <n v="14"/>
    <n v="5"/>
    <x v="15"/>
    <x v="5"/>
    <n v="19"/>
    <n v="55"/>
    <s v="+1 lap"/>
    <n v="0"/>
    <s v="No"/>
    <s v="1:35.874"/>
    <x v="1"/>
    <x v="1"/>
    <n v="5"/>
    <x v="1"/>
    <s v="No"/>
    <n v="2025"/>
  </r>
  <r>
    <x v="1"/>
    <s v="15"/>
    <n v="15"/>
    <n v="27"/>
    <x v="6"/>
    <x v="5"/>
    <n v="12"/>
    <n v="55"/>
    <s v="+1 lap"/>
    <n v="0"/>
    <s v="No"/>
    <s v="1:37.275"/>
    <x v="1"/>
    <x v="1"/>
    <n v="-3"/>
    <x v="1"/>
    <s v="No"/>
    <n v="2025"/>
  </r>
  <r>
    <x v="1"/>
    <s v="16"/>
    <n v="16"/>
    <n v="22"/>
    <x v="11"/>
    <x v="8"/>
    <n v="9"/>
    <n v="55"/>
    <s v="+1 lap"/>
    <n v="0"/>
    <s v="No"/>
    <s v="1:35.871"/>
    <x v="1"/>
    <x v="1"/>
    <n v="-7"/>
    <x v="1"/>
    <s v="No"/>
    <n v="2025"/>
  </r>
  <r>
    <x v="1"/>
    <s v="NC"/>
    <s v=""/>
    <n v="14"/>
    <x v="16"/>
    <x v="4"/>
    <n v="13"/>
    <n v="4"/>
    <s v="DNF"/>
    <n v="0"/>
    <s v="No"/>
    <s v="1:39.256"/>
    <x v="1"/>
    <x v="1"/>
    <n v="0"/>
    <x v="1"/>
    <s v="No"/>
    <n v="2025"/>
  </r>
  <r>
    <x v="1"/>
    <s v="DQ"/>
    <s v=""/>
    <n v="16"/>
    <x v="7"/>
    <x v="6"/>
    <n v="6"/>
    <n v="0"/>
    <s v="DSQ"/>
    <n v="0"/>
    <s v="No"/>
    <s v="1:36.157"/>
    <x v="1"/>
    <x v="1"/>
    <n v="0"/>
    <x v="1"/>
    <s v="No"/>
    <n v="2025"/>
  </r>
  <r>
    <x v="1"/>
    <s v="DQ"/>
    <s v=""/>
    <n v="44"/>
    <x v="9"/>
    <x v="6"/>
    <n v="5"/>
    <n v="0"/>
    <s v="DSQ"/>
    <n v="0"/>
    <s v="Yes"/>
    <s v="1:35.069"/>
    <x v="1"/>
    <x v="1"/>
    <n v="0"/>
    <x v="1"/>
    <s v="No"/>
    <n v="2025"/>
  </r>
  <r>
    <x v="1"/>
    <s v="DQ"/>
    <s v=""/>
    <n v="10"/>
    <x v="10"/>
    <x v="7"/>
    <n v="16"/>
    <n v="0"/>
    <s v="DSQ"/>
    <n v="0"/>
    <s v="No"/>
    <s v="1:36.425"/>
    <x v="1"/>
    <x v="1"/>
    <n v="0"/>
    <x v="1"/>
    <s v="No"/>
    <n v="2025"/>
  </r>
  <r>
    <x v="2"/>
    <s v="1"/>
    <n v="1"/>
    <n v="1"/>
    <x v="1"/>
    <x v="1"/>
    <n v="1"/>
    <n v="53"/>
    <s v="1:22:06.983"/>
    <n v="25"/>
    <s v="No"/>
    <s v="1:31.041"/>
    <x v="0"/>
    <x v="0"/>
    <n v="0"/>
    <x v="0"/>
    <s v="Yes"/>
    <n v="2025"/>
  </r>
  <r>
    <x v="2"/>
    <s v="2"/>
    <n v="2"/>
    <n v="4"/>
    <x v="0"/>
    <x v="0"/>
    <n v="2"/>
    <n v="53"/>
    <s v="+1.423"/>
    <n v="18"/>
    <s v="No"/>
    <s v="1:31.116"/>
    <x v="1"/>
    <x v="0"/>
    <n v="0"/>
    <x v="1"/>
    <s v="Yes"/>
    <n v="2025"/>
  </r>
  <r>
    <x v="2"/>
    <s v="3"/>
    <n v="3"/>
    <n v="81"/>
    <x v="8"/>
    <x v="0"/>
    <n v="3"/>
    <n v="53"/>
    <s v="+2.129"/>
    <n v="15"/>
    <s v="No"/>
    <s v="1:31.039"/>
    <x v="1"/>
    <x v="0"/>
    <n v="0"/>
    <x v="1"/>
    <s v="Yes"/>
    <n v="2025"/>
  </r>
  <r>
    <x v="2"/>
    <s v="4"/>
    <n v="4"/>
    <n v="16"/>
    <x v="7"/>
    <x v="6"/>
    <n v="4"/>
    <n v="53"/>
    <s v="+16.097"/>
    <n v="12"/>
    <s v="No"/>
    <s v="1:31.469"/>
    <x v="1"/>
    <x v="1"/>
    <n v="0"/>
    <x v="1"/>
    <s v="Yes"/>
    <n v="2025"/>
  </r>
  <r>
    <x v="2"/>
    <s v="5"/>
    <n v="5"/>
    <n v="63"/>
    <x v="2"/>
    <x v="2"/>
    <n v="5"/>
    <n v="53"/>
    <s v="+17.362"/>
    <n v="10"/>
    <s v="No"/>
    <s v="1:31.357"/>
    <x v="1"/>
    <x v="1"/>
    <n v="0"/>
    <x v="1"/>
    <s v="Yes"/>
    <n v="2025"/>
  </r>
  <r>
    <x v="2"/>
    <s v="6"/>
    <n v="6"/>
    <n v="12"/>
    <x v="3"/>
    <x v="2"/>
    <n v="6"/>
    <n v="53"/>
    <s v="+18.671"/>
    <n v="8"/>
    <s v="Yes"/>
    <s v="1:30.965"/>
    <x v="1"/>
    <x v="1"/>
    <n v="0"/>
    <x v="1"/>
    <s v="Yes"/>
    <n v="2025"/>
  </r>
  <r>
    <x v="2"/>
    <s v="7"/>
    <n v="7"/>
    <n v="44"/>
    <x v="9"/>
    <x v="6"/>
    <n v="8"/>
    <n v="53"/>
    <s v="+29.182"/>
    <n v="6"/>
    <s v="No"/>
    <s v="1:31.406"/>
    <x v="1"/>
    <x v="1"/>
    <n v="1"/>
    <x v="1"/>
    <s v="Yes"/>
    <n v="2025"/>
  </r>
  <r>
    <x v="2"/>
    <s v="8"/>
    <n v="8"/>
    <n v="6"/>
    <x v="19"/>
    <x v="8"/>
    <n v="7"/>
    <n v="53"/>
    <s v="+37.134"/>
    <n v="4"/>
    <s v="No"/>
    <s v="1:31.317"/>
    <x v="1"/>
    <x v="1"/>
    <n v="-1"/>
    <x v="1"/>
    <s v="Yes"/>
    <n v="2025"/>
  </r>
  <r>
    <x v="2"/>
    <s v="9"/>
    <n v="9"/>
    <n v="23"/>
    <x v="4"/>
    <x v="3"/>
    <n v="9"/>
    <n v="53"/>
    <s v="+40.367"/>
    <n v="2"/>
    <s v="No"/>
    <s v="1:31.125"/>
    <x v="1"/>
    <x v="1"/>
    <n v="0"/>
    <x v="1"/>
    <s v="Yes"/>
    <n v="2025"/>
  </r>
  <r>
    <x v="2"/>
    <s v="10"/>
    <n v="10"/>
    <n v="87"/>
    <x v="13"/>
    <x v="9"/>
    <n v="10"/>
    <n v="53"/>
    <s v="+54.529"/>
    <n v="1"/>
    <s v="No"/>
    <s v="1:32.006"/>
    <x v="1"/>
    <x v="1"/>
    <n v="0"/>
    <x v="1"/>
    <s v="Yes"/>
    <n v="2025"/>
  </r>
  <r>
    <x v="2"/>
    <s v="11"/>
    <n v="11"/>
    <n v="14"/>
    <x v="16"/>
    <x v="4"/>
    <n v="12"/>
    <n v="53"/>
    <s v="+57.333"/>
    <n v="0"/>
    <s v="No"/>
    <s v="1:31.770"/>
    <x v="1"/>
    <x v="1"/>
    <n v="1"/>
    <x v="1"/>
    <s v="No"/>
    <n v="2025"/>
  </r>
  <r>
    <x v="2"/>
    <s v="12"/>
    <n v="12"/>
    <n v="22"/>
    <x v="11"/>
    <x v="1"/>
    <n v="14"/>
    <n v="53"/>
    <s v="+58.401"/>
    <n v="0"/>
    <s v="No"/>
    <s v="1:31.871"/>
    <x v="1"/>
    <x v="1"/>
    <n v="2"/>
    <x v="1"/>
    <s v="No"/>
    <n v="2025"/>
  </r>
  <r>
    <x v="2"/>
    <s v="13"/>
    <n v="13"/>
    <n v="10"/>
    <x v="10"/>
    <x v="7"/>
    <n v="11"/>
    <n v="53"/>
    <s v="+62.122"/>
    <n v="0"/>
    <s v="No"/>
    <s v="1:31.820"/>
    <x v="1"/>
    <x v="1"/>
    <n v="-2"/>
    <x v="1"/>
    <s v="No"/>
    <n v="2025"/>
  </r>
  <r>
    <x v="2"/>
    <s v="14"/>
    <n v="14"/>
    <n v="55"/>
    <x v="17"/>
    <x v="3"/>
    <n v="15"/>
    <n v="53"/>
    <s v="+74.129"/>
    <n v="0"/>
    <s v="No"/>
    <s v="1:31.106"/>
    <x v="1"/>
    <x v="1"/>
    <n v="1"/>
    <x v="1"/>
    <s v="No"/>
    <n v="2025"/>
  </r>
  <r>
    <x v="2"/>
    <s v="15"/>
    <n v="15"/>
    <n v="7"/>
    <x v="18"/>
    <x v="7"/>
    <n v="19"/>
    <n v="53"/>
    <s v="+81.314"/>
    <n v="0"/>
    <s v="No"/>
    <s v="1:32.685"/>
    <x v="1"/>
    <x v="1"/>
    <n v="4"/>
    <x v="1"/>
    <s v="No"/>
    <n v="2025"/>
  </r>
  <r>
    <x v="2"/>
    <s v="16"/>
    <n v="16"/>
    <n v="27"/>
    <x v="6"/>
    <x v="5"/>
    <n v="16"/>
    <n v="53"/>
    <s v="+81.957"/>
    <n v="0"/>
    <s v="No"/>
    <s v="1:32.572"/>
    <x v="1"/>
    <x v="1"/>
    <n v="0"/>
    <x v="1"/>
    <s v="No"/>
    <n v="2025"/>
  </r>
  <r>
    <x v="2"/>
    <s v="17"/>
    <n v="17"/>
    <n v="30"/>
    <x v="14"/>
    <x v="8"/>
    <n v="13"/>
    <n v="53"/>
    <s v="+82.734"/>
    <n v="0"/>
    <s v="No"/>
    <s v="1:32.043"/>
    <x v="1"/>
    <x v="1"/>
    <n v="-4"/>
    <x v="1"/>
    <s v="No"/>
    <n v="2025"/>
  </r>
  <r>
    <x v="2"/>
    <s v="18"/>
    <n v="18"/>
    <n v="31"/>
    <x v="12"/>
    <x v="9"/>
    <n v="18"/>
    <n v="53"/>
    <s v="+83.438"/>
    <n v="0"/>
    <s v="No"/>
    <s v="1:31.967"/>
    <x v="1"/>
    <x v="1"/>
    <n v="0"/>
    <x v="1"/>
    <s v="No"/>
    <n v="2025"/>
  </r>
  <r>
    <x v="2"/>
    <s v="19"/>
    <n v="19"/>
    <n v="5"/>
    <x v="15"/>
    <x v="5"/>
    <n v="17"/>
    <n v="53"/>
    <s v="+83.897"/>
    <n v="0"/>
    <s v="No"/>
    <s v="1:32.034"/>
    <x v="1"/>
    <x v="1"/>
    <n v="-2"/>
    <x v="1"/>
    <s v="No"/>
    <n v="2025"/>
  </r>
  <r>
    <x v="2"/>
    <s v="20"/>
    <n v="20"/>
    <n v="18"/>
    <x v="5"/>
    <x v="4"/>
    <n v="20"/>
    <n v="52"/>
    <s v="+1 lap"/>
    <n v="0"/>
    <s v="No"/>
    <s v="1:32.052"/>
    <x v="1"/>
    <x v="1"/>
    <n v="0"/>
    <x v="1"/>
    <s v="No"/>
    <n v="2025"/>
  </r>
  <r>
    <x v="3"/>
    <s v="1"/>
    <n v="1"/>
    <n v="81"/>
    <x v="8"/>
    <x v="0"/>
    <n v="1"/>
    <n v="57"/>
    <s v="1:35:39.435"/>
    <n v="25"/>
    <s v="Yes"/>
    <s v="1:35.140"/>
    <x v="0"/>
    <x v="0"/>
    <n v="0"/>
    <x v="0"/>
    <s v="Yes"/>
    <n v="2025"/>
  </r>
  <r>
    <x v="3"/>
    <s v="2"/>
    <n v="2"/>
    <n v="63"/>
    <x v="2"/>
    <x v="2"/>
    <n v="3"/>
    <n v="57"/>
    <s v="+15.499"/>
    <n v="18"/>
    <s v="No"/>
    <s v="1:35.518"/>
    <x v="1"/>
    <x v="0"/>
    <n v="1"/>
    <x v="1"/>
    <s v="Yes"/>
    <n v="2025"/>
  </r>
  <r>
    <x v="3"/>
    <s v="3"/>
    <n v="3"/>
    <n v="4"/>
    <x v="0"/>
    <x v="0"/>
    <n v="6"/>
    <n v="57"/>
    <s v="+16.273"/>
    <n v="15"/>
    <s v="No"/>
    <s v="1:35.728"/>
    <x v="1"/>
    <x v="0"/>
    <n v="3"/>
    <x v="1"/>
    <s v="Yes"/>
    <n v="2025"/>
  </r>
  <r>
    <x v="3"/>
    <s v="4"/>
    <n v="4"/>
    <n v="16"/>
    <x v="7"/>
    <x v="6"/>
    <n v="2"/>
    <n v="57"/>
    <s v="+19.679"/>
    <n v="12"/>
    <s v="No"/>
    <s v="1:36.132"/>
    <x v="1"/>
    <x v="1"/>
    <n v="-2"/>
    <x v="1"/>
    <s v="Yes"/>
    <n v="2025"/>
  </r>
  <r>
    <x v="3"/>
    <s v="5"/>
    <n v="5"/>
    <n v="44"/>
    <x v="9"/>
    <x v="6"/>
    <n v="9"/>
    <n v="57"/>
    <s v="+27.993"/>
    <n v="10"/>
    <s v="No"/>
    <s v="1:36.235"/>
    <x v="1"/>
    <x v="1"/>
    <n v="4"/>
    <x v="1"/>
    <s v="Yes"/>
    <n v="2025"/>
  </r>
  <r>
    <x v="3"/>
    <s v="6"/>
    <n v="6"/>
    <n v="1"/>
    <x v="1"/>
    <x v="1"/>
    <n v="7"/>
    <n v="57"/>
    <s v="+24.395"/>
    <n v="8"/>
    <s v="No"/>
    <s v="1:36.167"/>
    <x v="1"/>
    <x v="1"/>
    <n v="1"/>
    <x v="1"/>
    <s v="Yes"/>
    <n v="2025"/>
  </r>
  <r>
    <x v="3"/>
    <s v="7"/>
    <n v="7"/>
    <n v="10"/>
    <x v="10"/>
    <x v="7"/>
    <n v="4"/>
    <n v="57"/>
    <s v="+36.002"/>
    <n v="6"/>
    <s v="No"/>
    <s v="1:36.531"/>
    <x v="1"/>
    <x v="1"/>
    <n v="-3"/>
    <x v="1"/>
    <s v="Yes"/>
    <n v="2025"/>
  </r>
  <r>
    <x v="3"/>
    <s v="8"/>
    <n v="8"/>
    <n v="31"/>
    <x v="12"/>
    <x v="9"/>
    <n v="14"/>
    <n v="57"/>
    <s v="+44.244"/>
    <n v="4"/>
    <s v="No"/>
    <s v="1:37.098"/>
    <x v="1"/>
    <x v="1"/>
    <n v="6"/>
    <x v="1"/>
    <s v="Yes"/>
    <n v="2025"/>
  </r>
  <r>
    <x v="3"/>
    <s v="9"/>
    <n v="9"/>
    <n v="22"/>
    <x v="11"/>
    <x v="1"/>
    <n v="10"/>
    <n v="57"/>
    <s v="+45.061"/>
    <n v="2"/>
    <s v="No"/>
    <s v="1:37.225"/>
    <x v="1"/>
    <x v="1"/>
    <n v="1"/>
    <x v="1"/>
    <s v="Yes"/>
    <n v="2025"/>
  </r>
  <r>
    <x v="3"/>
    <s v="10"/>
    <n v="10"/>
    <n v="87"/>
    <x v="13"/>
    <x v="9"/>
    <n v="20"/>
    <n v="57"/>
    <s v="+47.594"/>
    <n v="1"/>
    <s v="No"/>
    <s v="1:37.303"/>
    <x v="1"/>
    <x v="1"/>
    <n v="10"/>
    <x v="1"/>
    <s v="Yes"/>
    <n v="2025"/>
  </r>
  <r>
    <x v="3"/>
    <s v="11"/>
    <n v="11"/>
    <n v="12"/>
    <x v="3"/>
    <x v="2"/>
    <n v="5"/>
    <n v="57"/>
    <s v="+48.016"/>
    <n v="0"/>
    <s v="No"/>
    <s v="1:36.690"/>
    <x v="1"/>
    <x v="1"/>
    <n v="-6"/>
    <x v="1"/>
    <s v="No"/>
    <n v="2025"/>
  </r>
  <r>
    <x v="3"/>
    <s v="12"/>
    <n v="12"/>
    <n v="23"/>
    <x v="4"/>
    <x v="3"/>
    <n v="15"/>
    <n v="57"/>
    <s v="+48.839"/>
    <n v="0"/>
    <s v="No"/>
    <s v="1:37.141"/>
    <x v="1"/>
    <x v="1"/>
    <n v="3"/>
    <x v="1"/>
    <s v="No"/>
    <n v="2025"/>
  </r>
  <r>
    <x v="3"/>
    <s v="13"/>
    <n v="13"/>
    <n v="6"/>
    <x v="19"/>
    <x v="8"/>
    <n v="12"/>
    <n v="57"/>
    <s v="+56.314"/>
    <n v="0"/>
    <s v="No"/>
    <s v="1:36.952"/>
    <x v="1"/>
    <x v="1"/>
    <n v="-1"/>
    <x v="1"/>
    <s v="No"/>
    <n v="2025"/>
  </r>
  <r>
    <x v="3"/>
    <s v="14"/>
    <n v="14"/>
    <n v="7"/>
    <x v="18"/>
    <x v="7"/>
    <n v="11"/>
    <n v="57"/>
    <s v="+57.806"/>
    <n v="0"/>
    <s v="No"/>
    <s v="1:36.682"/>
    <x v="1"/>
    <x v="1"/>
    <n v="-3"/>
    <x v="1"/>
    <s v="No"/>
    <n v="2025"/>
  </r>
  <r>
    <x v="3"/>
    <s v="15"/>
    <n v="15"/>
    <n v="14"/>
    <x v="16"/>
    <x v="4"/>
    <n v="13"/>
    <n v="57"/>
    <s v="+60.340"/>
    <n v="0"/>
    <s v="No"/>
    <s v="1:37.906"/>
    <x v="1"/>
    <x v="1"/>
    <n v="-2"/>
    <x v="1"/>
    <s v="No"/>
    <n v="2025"/>
  </r>
  <r>
    <x v="3"/>
    <s v="16"/>
    <n v="16"/>
    <n v="30"/>
    <x v="14"/>
    <x v="8"/>
    <n v="17"/>
    <n v="57"/>
    <s v="+64.435"/>
    <n v="0"/>
    <s v="No"/>
    <s v="1:37.380"/>
    <x v="1"/>
    <x v="1"/>
    <n v="1"/>
    <x v="1"/>
    <s v="No"/>
    <n v="2025"/>
  </r>
  <r>
    <x v="3"/>
    <s v="17"/>
    <n v="17"/>
    <n v="18"/>
    <x v="5"/>
    <x v="4"/>
    <n v="19"/>
    <n v="57"/>
    <s v="+65.489"/>
    <n v="0"/>
    <s v="No"/>
    <s v="1:38.064"/>
    <x v="1"/>
    <x v="1"/>
    <n v="2"/>
    <x v="1"/>
    <s v="No"/>
    <n v="2025"/>
  </r>
  <r>
    <x v="3"/>
    <s v="18"/>
    <n v="18"/>
    <n v="5"/>
    <x v="15"/>
    <x v="5"/>
    <n v="18"/>
    <n v="57"/>
    <s v="+66.872"/>
    <n v="0"/>
    <s v="No"/>
    <s v="1:38.006"/>
    <x v="1"/>
    <x v="1"/>
    <n v="0"/>
    <x v="1"/>
    <s v="No"/>
    <n v="2025"/>
  </r>
  <r>
    <x v="3"/>
    <s v="NC"/>
    <s v=""/>
    <n v="55"/>
    <x v="17"/>
    <x v="3"/>
    <n v="8"/>
    <n v="45"/>
    <s v="DNF"/>
    <n v="0"/>
    <s v="No"/>
    <s v="1:36.954"/>
    <x v="1"/>
    <x v="1"/>
    <n v="0"/>
    <x v="1"/>
    <s v="No"/>
    <n v="2025"/>
  </r>
  <r>
    <x v="3"/>
    <s v="DQ"/>
    <s v=""/>
    <n v="27"/>
    <x v="6"/>
    <x v="5"/>
    <n v="16"/>
    <n v="0"/>
    <s v="DSQ"/>
    <n v="0"/>
    <s v="No"/>
    <s v="1:37.338"/>
    <x v="1"/>
    <x v="1"/>
    <n v="0"/>
    <x v="1"/>
    <s v="No"/>
    <n v="2025"/>
  </r>
  <r>
    <x v="4"/>
    <s v="1"/>
    <n v="1"/>
    <n v="81"/>
    <x v="8"/>
    <x v="0"/>
    <n v="2"/>
    <n v="50"/>
    <s v="1:21:06.758"/>
    <n v="25"/>
    <s v="No"/>
    <s v="1:32.228"/>
    <x v="0"/>
    <x v="0"/>
    <n v="1"/>
    <x v="1"/>
    <s v="Yes"/>
    <n v="2025"/>
  </r>
  <r>
    <x v="4"/>
    <s v="2"/>
    <n v="2"/>
    <n v="1"/>
    <x v="1"/>
    <x v="1"/>
    <n v="1"/>
    <n v="50"/>
    <s v="+2.843"/>
    <n v="18"/>
    <s v="No"/>
    <s v="1:32.280"/>
    <x v="1"/>
    <x v="0"/>
    <n v="-1"/>
    <x v="1"/>
    <s v="Yes"/>
    <n v="2025"/>
  </r>
  <r>
    <x v="4"/>
    <s v="3"/>
    <n v="3"/>
    <n v="16"/>
    <x v="7"/>
    <x v="6"/>
    <n v="4"/>
    <n v="50"/>
    <s v="+8.104"/>
    <n v="15"/>
    <s v="No"/>
    <s v="1:32.192"/>
    <x v="1"/>
    <x v="0"/>
    <n v="1"/>
    <x v="1"/>
    <s v="Yes"/>
    <n v="2025"/>
  </r>
  <r>
    <x v="4"/>
    <s v="4"/>
    <n v="4"/>
    <n v="4"/>
    <x v="0"/>
    <x v="0"/>
    <n v="10"/>
    <n v="50"/>
    <s v="+9.196"/>
    <n v="12"/>
    <s v="Yes"/>
    <s v="1:31.778"/>
    <x v="1"/>
    <x v="1"/>
    <n v="6"/>
    <x v="1"/>
    <s v="Yes"/>
    <n v="2025"/>
  </r>
  <r>
    <x v="4"/>
    <s v="5"/>
    <n v="5"/>
    <n v="63"/>
    <x v="2"/>
    <x v="2"/>
    <n v="3"/>
    <n v="50"/>
    <s v="+27.236"/>
    <n v="10"/>
    <s v="No"/>
    <s v="1:32.893"/>
    <x v="1"/>
    <x v="1"/>
    <n v="-2"/>
    <x v="1"/>
    <s v="Yes"/>
    <n v="2025"/>
  </r>
  <r>
    <x v="4"/>
    <s v="6"/>
    <n v="6"/>
    <n v="12"/>
    <x v="3"/>
    <x v="2"/>
    <n v="5"/>
    <n v="50"/>
    <s v="+34.688"/>
    <n v="8"/>
    <s v="No"/>
    <s v="1:32.396"/>
    <x v="1"/>
    <x v="1"/>
    <n v="-1"/>
    <x v="1"/>
    <s v="Yes"/>
    <n v="2025"/>
  </r>
  <r>
    <x v="4"/>
    <s v="7"/>
    <n v="7"/>
    <n v="44"/>
    <x v="9"/>
    <x v="6"/>
    <n v="7"/>
    <n v="50"/>
    <s v="+39.073"/>
    <n v="6"/>
    <s v="No"/>
    <s v="1:32.600"/>
    <x v="1"/>
    <x v="1"/>
    <n v="0"/>
    <x v="1"/>
    <s v="Yes"/>
    <n v="2025"/>
  </r>
  <r>
    <x v="4"/>
    <s v="8"/>
    <n v="8"/>
    <n v="55"/>
    <x v="17"/>
    <x v="3"/>
    <n v="6"/>
    <n v="50"/>
    <s v="+64.630"/>
    <n v="4"/>
    <s v="No"/>
    <s v="1:32.466"/>
    <x v="1"/>
    <x v="1"/>
    <n v="-2"/>
    <x v="1"/>
    <s v="Yes"/>
    <n v="2025"/>
  </r>
  <r>
    <x v="4"/>
    <s v="9"/>
    <n v="9"/>
    <n v="23"/>
    <x v="4"/>
    <x v="3"/>
    <n v="11"/>
    <n v="50"/>
    <s v="+66.515"/>
    <n v="2"/>
    <s v="No"/>
    <s v="1:33.477"/>
    <x v="1"/>
    <x v="1"/>
    <n v="2"/>
    <x v="1"/>
    <s v="Yes"/>
    <n v="2025"/>
  </r>
  <r>
    <x v="4"/>
    <s v="10"/>
    <n v="10"/>
    <n v="6"/>
    <x v="19"/>
    <x v="8"/>
    <n v="14"/>
    <n v="50"/>
    <s v="+67.091"/>
    <n v="1"/>
    <s v="No"/>
    <s v="1:33.257"/>
    <x v="1"/>
    <x v="1"/>
    <n v="4"/>
    <x v="1"/>
    <s v="Yes"/>
    <n v="2025"/>
  </r>
  <r>
    <x v="4"/>
    <s v="11"/>
    <n v="11"/>
    <n v="14"/>
    <x v="16"/>
    <x v="4"/>
    <n v="13"/>
    <n v="50"/>
    <s v="+75.917"/>
    <n v="0"/>
    <s v="No"/>
    <s v="1:33.009"/>
    <x v="1"/>
    <x v="1"/>
    <n v="2"/>
    <x v="1"/>
    <s v="No"/>
    <n v="2025"/>
  </r>
  <r>
    <x v="4"/>
    <s v="12"/>
    <n v="12"/>
    <n v="30"/>
    <x v="14"/>
    <x v="8"/>
    <n v="12"/>
    <n v="50"/>
    <s v="+78.451"/>
    <n v="0"/>
    <s v="No"/>
    <s v="1:32.998"/>
    <x v="1"/>
    <x v="1"/>
    <n v="0"/>
    <x v="1"/>
    <s v="No"/>
    <n v="2025"/>
  </r>
  <r>
    <x v="4"/>
    <s v="13"/>
    <n v="13"/>
    <n v="87"/>
    <x v="13"/>
    <x v="9"/>
    <n v="15"/>
    <n v="50"/>
    <s v="+79.194"/>
    <n v="0"/>
    <s v="No"/>
    <s v="1:33.238"/>
    <x v="1"/>
    <x v="1"/>
    <n v="2"/>
    <x v="1"/>
    <s v="No"/>
    <n v="2025"/>
  </r>
  <r>
    <x v="4"/>
    <s v="14"/>
    <n v="14"/>
    <n v="31"/>
    <x v="12"/>
    <x v="9"/>
    <n v="19"/>
    <n v="50"/>
    <s v="+99.723"/>
    <n v="0"/>
    <s v="No"/>
    <s v="1:34.309"/>
    <x v="1"/>
    <x v="1"/>
    <n v="5"/>
    <x v="1"/>
    <s v="No"/>
    <n v="2025"/>
  </r>
  <r>
    <x v="4"/>
    <s v="15"/>
    <n v="15"/>
    <n v="27"/>
    <x v="6"/>
    <x v="5"/>
    <n v="18"/>
    <n v="49"/>
    <s v="+1 lap"/>
    <n v="0"/>
    <s v="No"/>
    <s v="1:33.446"/>
    <x v="1"/>
    <x v="1"/>
    <n v="3"/>
    <x v="1"/>
    <s v="No"/>
    <n v="2025"/>
  </r>
  <r>
    <x v="4"/>
    <s v="16"/>
    <n v="16"/>
    <n v="18"/>
    <x v="5"/>
    <x v="4"/>
    <n v="16"/>
    <n v="49"/>
    <s v="+1 lap"/>
    <n v="0"/>
    <s v="No"/>
    <s v="1:32.745"/>
    <x v="1"/>
    <x v="1"/>
    <n v="0"/>
    <x v="1"/>
    <s v="No"/>
    <n v="2025"/>
  </r>
  <r>
    <x v="4"/>
    <s v="17"/>
    <n v="17"/>
    <n v="7"/>
    <x v="18"/>
    <x v="7"/>
    <n v="17"/>
    <n v="49"/>
    <s v="+1 lap"/>
    <n v="0"/>
    <s v="No"/>
    <s v="1:33.150"/>
    <x v="1"/>
    <x v="1"/>
    <n v="0"/>
    <x v="1"/>
    <s v="No"/>
    <n v="2025"/>
  </r>
  <r>
    <x v="4"/>
    <s v="18"/>
    <n v="18"/>
    <n v="5"/>
    <x v="15"/>
    <x v="5"/>
    <n v="20"/>
    <n v="49"/>
    <s v="+1 lap"/>
    <n v="0"/>
    <s v="No"/>
    <s v="1:34.447"/>
    <x v="1"/>
    <x v="1"/>
    <n v="2"/>
    <x v="1"/>
    <s v="No"/>
    <n v="2025"/>
  </r>
  <r>
    <x v="4"/>
    <s v="NC"/>
    <s v=""/>
    <n v="22"/>
    <x v="11"/>
    <x v="1"/>
    <n v="8"/>
    <n v="1"/>
    <s v="DNF"/>
    <n v="0"/>
    <s v="No"/>
    <s v=""/>
    <x v="1"/>
    <x v="1"/>
    <n v="0"/>
    <x v="1"/>
    <s v="No"/>
    <n v="2025"/>
  </r>
  <r>
    <x v="4"/>
    <s v="NC"/>
    <s v=""/>
    <n v="10"/>
    <x v="10"/>
    <x v="7"/>
    <n v="9"/>
    <n v="0"/>
    <s v="DNF"/>
    <n v="0"/>
    <s v="No"/>
    <s v=""/>
    <x v="1"/>
    <x v="1"/>
    <n v="0"/>
    <x v="1"/>
    <s v="No"/>
    <n v="2025"/>
  </r>
  <r>
    <x v="5"/>
    <s v="1"/>
    <n v="1"/>
    <n v="81"/>
    <x v="8"/>
    <x v="0"/>
    <n v="4"/>
    <n v="57"/>
    <s v="1:28:51.587"/>
    <n v="25"/>
    <s v="No"/>
    <s v="1:29.822"/>
    <x v="0"/>
    <x v="0"/>
    <n v="3"/>
    <x v="1"/>
    <s v="Yes"/>
    <n v="2025"/>
  </r>
  <r>
    <x v="5"/>
    <s v="2"/>
    <n v="2"/>
    <n v="4"/>
    <x v="0"/>
    <x v="0"/>
    <n v="2"/>
    <n v="57"/>
    <s v="+4.630"/>
    <n v="18"/>
    <s v="Yes"/>
    <s v="1:29.746"/>
    <x v="1"/>
    <x v="0"/>
    <n v="0"/>
    <x v="1"/>
    <s v="Yes"/>
    <n v="2025"/>
  </r>
  <r>
    <x v="5"/>
    <s v="3"/>
    <n v="3"/>
    <n v="63"/>
    <x v="2"/>
    <x v="2"/>
    <n v="5"/>
    <n v="57"/>
    <s v="+37.644"/>
    <n v="15"/>
    <s v="No"/>
    <s v="1:30.318"/>
    <x v="1"/>
    <x v="0"/>
    <n v="2"/>
    <x v="1"/>
    <s v="Yes"/>
    <n v="2025"/>
  </r>
  <r>
    <x v="5"/>
    <s v="4"/>
    <n v="4"/>
    <n v="1"/>
    <x v="1"/>
    <x v="1"/>
    <n v="1"/>
    <n v="57"/>
    <s v="+39.956"/>
    <n v="12"/>
    <s v="No"/>
    <s v="1:30.466"/>
    <x v="1"/>
    <x v="1"/>
    <n v="-3"/>
    <x v="1"/>
    <s v="Yes"/>
    <n v="2025"/>
  </r>
  <r>
    <x v="5"/>
    <s v="5"/>
    <n v="5"/>
    <n v="23"/>
    <x v="4"/>
    <x v="3"/>
    <n v="7"/>
    <n v="57"/>
    <s v="+48.067"/>
    <n v="10"/>
    <s v="No"/>
    <s v="1:30.482"/>
    <x v="1"/>
    <x v="1"/>
    <n v="2"/>
    <x v="1"/>
    <s v="Yes"/>
    <n v="2025"/>
  </r>
  <r>
    <x v="5"/>
    <s v="6"/>
    <n v="6"/>
    <n v="12"/>
    <x v="3"/>
    <x v="2"/>
    <n v="3"/>
    <n v="57"/>
    <s v="+55.502"/>
    <n v="8"/>
    <s v="No"/>
    <s v="1:30.795"/>
    <x v="1"/>
    <x v="1"/>
    <n v="-3"/>
    <x v="1"/>
    <s v="Yes"/>
    <n v="2025"/>
  </r>
  <r>
    <x v="5"/>
    <s v="7"/>
    <n v="7"/>
    <n v="16"/>
    <x v="7"/>
    <x v="6"/>
    <n v="8"/>
    <n v="57"/>
    <s v="+57.036"/>
    <n v="6"/>
    <s v="No"/>
    <s v="1:30.461"/>
    <x v="1"/>
    <x v="1"/>
    <n v="1"/>
    <x v="1"/>
    <s v="Yes"/>
    <n v="2025"/>
  </r>
  <r>
    <x v="5"/>
    <s v="8"/>
    <n v="8"/>
    <n v="44"/>
    <x v="9"/>
    <x v="6"/>
    <n v="12"/>
    <n v="57"/>
    <s v="+60.186"/>
    <n v="4"/>
    <s v="No"/>
    <s v="1:30.562"/>
    <x v="1"/>
    <x v="1"/>
    <n v="4"/>
    <x v="1"/>
    <s v="Yes"/>
    <n v="2025"/>
  </r>
  <r>
    <x v="5"/>
    <s v="9"/>
    <n v="9"/>
    <n v="55"/>
    <x v="17"/>
    <x v="3"/>
    <n v="6"/>
    <n v="57"/>
    <s v="+60.577"/>
    <n v="2"/>
    <s v="No"/>
    <s v="1:30.703"/>
    <x v="1"/>
    <x v="1"/>
    <n v="-3"/>
    <x v="1"/>
    <s v="Yes"/>
    <n v="2025"/>
  </r>
  <r>
    <x v="5"/>
    <s v="10"/>
    <n v="10"/>
    <n v="22"/>
    <x v="11"/>
    <x v="1"/>
    <n v="10"/>
    <n v="57"/>
    <s v="+74.434"/>
    <n v="1"/>
    <s v="No"/>
    <s v="1:30.964"/>
    <x v="1"/>
    <x v="1"/>
    <n v="0"/>
    <x v="1"/>
    <s v="Yes"/>
    <n v="2025"/>
  </r>
  <r>
    <x v="5"/>
    <s v="11"/>
    <n v="11"/>
    <n v="6"/>
    <x v="19"/>
    <x v="8"/>
    <n v="11"/>
    <n v="57"/>
    <s v="+74.602"/>
    <n v="0"/>
    <s v="No"/>
    <s v="1:30.971"/>
    <x v="1"/>
    <x v="1"/>
    <n v="0"/>
    <x v="1"/>
    <s v="No"/>
    <n v="2025"/>
  </r>
  <r>
    <x v="5"/>
    <s v="12"/>
    <n v="12"/>
    <n v="31"/>
    <x v="12"/>
    <x v="9"/>
    <n v="9"/>
    <n v="57"/>
    <s v="+82.006"/>
    <n v="0"/>
    <s v="No"/>
    <s v="1:31.122"/>
    <x v="1"/>
    <x v="1"/>
    <n v="-3"/>
    <x v="1"/>
    <s v="No"/>
    <n v="2025"/>
  </r>
  <r>
    <x v="5"/>
    <s v="13"/>
    <n v="13"/>
    <n v="10"/>
    <x v="10"/>
    <x v="7"/>
    <n v="20"/>
    <n v="57"/>
    <s v="+90.445"/>
    <n v="0"/>
    <s v="No"/>
    <s v="1:31.159"/>
    <x v="1"/>
    <x v="1"/>
    <n v="7"/>
    <x v="1"/>
    <s v="No"/>
    <n v="2025"/>
  </r>
  <r>
    <x v="5"/>
    <s v="14"/>
    <n v="14"/>
    <n v="27"/>
    <x v="6"/>
    <x v="5"/>
    <n v="16"/>
    <n v="56"/>
    <s v="+1 lap"/>
    <n v="0"/>
    <s v="No"/>
    <s v="1:31.015"/>
    <x v="1"/>
    <x v="1"/>
    <n v="2"/>
    <x v="1"/>
    <s v="No"/>
    <n v="2025"/>
  </r>
  <r>
    <x v="5"/>
    <s v="15"/>
    <n v="15"/>
    <n v="14"/>
    <x v="16"/>
    <x v="4"/>
    <n v="17"/>
    <n v="56"/>
    <s v="+1 lap"/>
    <n v="0"/>
    <s v="No"/>
    <s v="1:31.287"/>
    <x v="1"/>
    <x v="1"/>
    <n v="2"/>
    <x v="1"/>
    <s v="No"/>
    <n v="2025"/>
  </r>
  <r>
    <x v="5"/>
    <s v="16"/>
    <n v="16"/>
    <n v="18"/>
    <x v="5"/>
    <x v="4"/>
    <n v="18"/>
    <n v="56"/>
    <s v="+1 lap"/>
    <n v="0"/>
    <s v="No"/>
    <s v="1:31.769"/>
    <x v="1"/>
    <x v="1"/>
    <n v="2"/>
    <x v="1"/>
    <s v="No"/>
    <n v="2025"/>
  </r>
  <r>
    <x v="5"/>
    <s v="NC"/>
    <s v=""/>
    <n v="30"/>
    <x v="14"/>
    <x v="8"/>
    <n v="15"/>
    <n v="36"/>
    <s v="DNF"/>
    <n v="0"/>
    <s v="No"/>
    <s v="1:31.770"/>
    <x v="1"/>
    <x v="1"/>
    <n v="0"/>
    <x v="1"/>
    <s v="No"/>
    <n v="2025"/>
  </r>
  <r>
    <x v="5"/>
    <s v="NC"/>
    <s v=""/>
    <n v="5"/>
    <x v="15"/>
    <x v="5"/>
    <n v="13"/>
    <n v="30"/>
    <s v="DNF"/>
    <n v="0"/>
    <s v="No"/>
    <s v="1:32.328"/>
    <x v="1"/>
    <x v="1"/>
    <n v="0"/>
    <x v="1"/>
    <s v="No"/>
    <n v="2025"/>
  </r>
  <r>
    <x v="5"/>
    <s v="NC"/>
    <s v=""/>
    <n v="87"/>
    <x v="13"/>
    <x v="9"/>
    <n v="19"/>
    <n v="27"/>
    <s v="DNF"/>
    <n v="0"/>
    <s v="No"/>
    <s v="1:32.680"/>
    <x v="1"/>
    <x v="1"/>
    <n v="0"/>
    <x v="1"/>
    <s v="No"/>
    <n v="2025"/>
  </r>
  <r>
    <x v="5"/>
    <s v="NC"/>
    <s v=""/>
    <n v="7"/>
    <x v="18"/>
    <x v="7"/>
    <n v="14"/>
    <n v="0"/>
    <s v="DNF"/>
    <n v="0"/>
    <s v="No"/>
    <s v=""/>
    <x v="1"/>
    <x v="1"/>
    <n v="0"/>
    <x v="1"/>
    <s v="No"/>
    <n v="2025"/>
  </r>
  <r>
    <x v="6"/>
    <s v="1"/>
    <n v="1"/>
    <n v="1"/>
    <x v="1"/>
    <x v="1"/>
    <n v="2"/>
    <n v="63"/>
    <s v="1:31:33.199"/>
    <n v="25"/>
    <s v="Yes"/>
    <s v="1:17.988"/>
    <x v="0"/>
    <x v="0"/>
    <n v="1"/>
    <x v="1"/>
    <s v="Yes"/>
    <n v="2025"/>
  </r>
  <r>
    <x v="6"/>
    <s v="2"/>
    <n v="2"/>
    <n v="4"/>
    <x v="0"/>
    <x v="0"/>
    <n v="4"/>
    <n v="63"/>
    <s v="+6.109"/>
    <n v="18"/>
    <s v="No"/>
    <s v="1:18.311"/>
    <x v="1"/>
    <x v="0"/>
    <n v="2"/>
    <x v="1"/>
    <s v="Yes"/>
    <n v="2025"/>
  </r>
  <r>
    <x v="6"/>
    <s v="3"/>
    <n v="3"/>
    <n v="81"/>
    <x v="8"/>
    <x v="0"/>
    <n v="1"/>
    <n v="63"/>
    <s v="+12.956"/>
    <n v="15"/>
    <s v="No"/>
    <s v="1:18.894"/>
    <x v="1"/>
    <x v="0"/>
    <n v="-2"/>
    <x v="1"/>
    <s v="Yes"/>
    <n v="2025"/>
  </r>
  <r>
    <x v="6"/>
    <s v="4"/>
    <n v="4"/>
    <n v="44"/>
    <x v="9"/>
    <x v="6"/>
    <n v="12"/>
    <n v="63"/>
    <s v="+14.356"/>
    <n v="12"/>
    <s v="No"/>
    <s v="1:18.265"/>
    <x v="1"/>
    <x v="1"/>
    <n v="8"/>
    <x v="1"/>
    <s v="Yes"/>
    <n v="2025"/>
  </r>
  <r>
    <x v="6"/>
    <s v="5"/>
    <n v="5"/>
    <n v="23"/>
    <x v="4"/>
    <x v="3"/>
    <n v="7"/>
    <n v="63"/>
    <s v="+17.945"/>
    <n v="10"/>
    <s v="No"/>
    <s v="1:18.289"/>
    <x v="1"/>
    <x v="1"/>
    <n v="2"/>
    <x v="1"/>
    <s v="Yes"/>
    <n v="2025"/>
  </r>
  <r>
    <x v="6"/>
    <s v="6"/>
    <n v="6"/>
    <n v="16"/>
    <x v="7"/>
    <x v="6"/>
    <n v="11"/>
    <n v="63"/>
    <s v="+20.774"/>
    <n v="8"/>
    <s v="No"/>
    <s v="1:19.048"/>
    <x v="1"/>
    <x v="1"/>
    <n v="5"/>
    <x v="1"/>
    <s v="Yes"/>
    <n v="2025"/>
  </r>
  <r>
    <x v="6"/>
    <s v="7"/>
    <n v="7"/>
    <n v="63"/>
    <x v="2"/>
    <x v="2"/>
    <n v="3"/>
    <n v="63"/>
    <s v="+22.304"/>
    <n v="6"/>
    <s v="No"/>
    <s v="1:19.733"/>
    <x v="1"/>
    <x v="1"/>
    <n v="-4"/>
    <x v="1"/>
    <s v="Yes"/>
    <n v="2025"/>
  </r>
  <r>
    <x v="6"/>
    <s v="8"/>
    <n v="8"/>
    <n v="55"/>
    <x v="17"/>
    <x v="3"/>
    <n v="6"/>
    <n v="63"/>
    <s v="+22.898"/>
    <n v="4"/>
    <s v="No"/>
    <s v="1:19.836"/>
    <x v="1"/>
    <x v="1"/>
    <n v="-2"/>
    <x v="1"/>
    <s v="Yes"/>
    <n v="2025"/>
  </r>
  <r>
    <x v="6"/>
    <s v="9"/>
    <n v="9"/>
    <n v="6"/>
    <x v="19"/>
    <x v="8"/>
    <n v="9"/>
    <n v="63"/>
    <s v="+23.586"/>
    <n v="2"/>
    <s v="No"/>
    <s v="1:19.473"/>
    <x v="1"/>
    <x v="1"/>
    <n v="0"/>
    <x v="1"/>
    <s v="Yes"/>
    <n v="2025"/>
  </r>
  <r>
    <x v="6"/>
    <s v="10"/>
    <n v="10"/>
    <n v="22"/>
    <x v="11"/>
    <x v="1"/>
    <n v="20"/>
    <n v="63"/>
    <s v="+26.446"/>
    <n v="1"/>
    <s v="No"/>
    <s v="1:20.039"/>
    <x v="1"/>
    <x v="1"/>
    <n v="10"/>
    <x v="1"/>
    <s v="Yes"/>
    <n v="2025"/>
  </r>
  <r>
    <x v="6"/>
    <s v="11"/>
    <n v="11"/>
    <n v="14"/>
    <x v="16"/>
    <x v="4"/>
    <n v="5"/>
    <n v="63"/>
    <s v="+27.250"/>
    <n v="0"/>
    <s v="No"/>
    <s v="1:19.894"/>
    <x v="1"/>
    <x v="1"/>
    <n v="-6"/>
    <x v="1"/>
    <s v="No"/>
    <n v="2025"/>
  </r>
  <r>
    <x v="6"/>
    <s v="12"/>
    <n v="12"/>
    <n v="27"/>
    <x v="6"/>
    <x v="5"/>
    <n v="17"/>
    <n v="63"/>
    <s v="+30.296"/>
    <n v="0"/>
    <s v="No"/>
    <s v="1:20.401"/>
    <x v="1"/>
    <x v="1"/>
    <n v="5"/>
    <x v="1"/>
    <s v="No"/>
    <n v="2025"/>
  </r>
  <r>
    <x v="6"/>
    <s v="13"/>
    <n v="13"/>
    <n v="10"/>
    <x v="10"/>
    <x v="7"/>
    <n v="10"/>
    <n v="63"/>
    <s v="+31.424"/>
    <n v="0"/>
    <s v="No"/>
    <s v="1:20.398"/>
    <x v="1"/>
    <x v="1"/>
    <n v="-3"/>
    <x v="1"/>
    <s v="No"/>
    <n v="2025"/>
  </r>
  <r>
    <x v="6"/>
    <s v="14"/>
    <n v="14"/>
    <n v="30"/>
    <x v="14"/>
    <x v="8"/>
    <n v="15"/>
    <n v="63"/>
    <s v="+32.511"/>
    <n v="0"/>
    <s v="No"/>
    <s v="1:20.501"/>
    <x v="1"/>
    <x v="1"/>
    <n v="1"/>
    <x v="1"/>
    <s v="No"/>
    <n v="2025"/>
  </r>
  <r>
    <x v="6"/>
    <s v="15"/>
    <n v="15"/>
    <n v="18"/>
    <x v="5"/>
    <x v="4"/>
    <n v="8"/>
    <n v="63"/>
    <s v="+32.993"/>
    <n v="0"/>
    <s v="No"/>
    <s v="1:20.501"/>
    <x v="1"/>
    <x v="1"/>
    <n v="-7"/>
    <x v="1"/>
    <s v="No"/>
    <n v="2025"/>
  </r>
  <r>
    <x v="6"/>
    <s v="16"/>
    <n v="16"/>
    <n v="43"/>
    <x v="20"/>
    <x v="7"/>
    <n v="16"/>
    <n v="63"/>
    <s v="+33.411"/>
    <n v="0"/>
    <s v="No"/>
    <s v="1:20.345"/>
    <x v="1"/>
    <x v="1"/>
    <n v="0"/>
    <x v="1"/>
    <s v="No"/>
    <n v="2025"/>
  </r>
  <r>
    <x v="6"/>
    <s v="17"/>
    <n v="17"/>
    <n v="87"/>
    <x v="13"/>
    <x v="9"/>
    <n v="19"/>
    <n v="63"/>
    <s v="+33.808"/>
    <n v="0"/>
    <s v="No"/>
    <s v="1:19.521"/>
    <x v="1"/>
    <x v="1"/>
    <n v="2"/>
    <x v="1"/>
    <s v="No"/>
    <n v="2025"/>
  </r>
  <r>
    <x v="6"/>
    <s v="18"/>
    <n v="18"/>
    <n v="5"/>
    <x v="15"/>
    <x v="5"/>
    <n v="14"/>
    <n v="63"/>
    <s v="+38.572"/>
    <n v="0"/>
    <s v="No"/>
    <s v="1:20.630"/>
    <x v="1"/>
    <x v="1"/>
    <n v="-4"/>
    <x v="1"/>
    <s v="No"/>
    <n v="2025"/>
  </r>
  <r>
    <x v="6"/>
    <s v="NC"/>
    <s v=""/>
    <n v="12"/>
    <x v="3"/>
    <x v="2"/>
    <n v="13"/>
    <n v="44"/>
    <s v="DNF"/>
    <n v="0"/>
    <s v="No"/>
    <s v="1:20.620"/>
    <x v="1"/>
    <x v="1"/>
    <n v="0"/>
    <x v="1"/>
    <s v="No"/>
    <n v="2025"/>
  </r>
  <r>
    <x v="6"/>
    <s v="NC"/>
    <s v=""/>
    <n v="31"/>
    <x v="12"/>
    <x v="9"/>
    <n v="18"/>
    <n v="27"/>
    <s v="DNF"/>
    <n v="0"/>
    <s v="No"/>
    <s v="1:21.413"/>
    <x v="1"/>
    <x v="1"/>
    <n v="0"/>
    <x v="1"/>
    <s v="No"/>
    <n v="2025"/>
  </r>
  <r>
    <x v="7"/>
    <s v="1"/>
    <n v="1"/>
    <n v="4"/>
    <x v="0"/>
    <x v="0"/>
    <n v="1"/>
    <n v="78"/>
    <s v="1:40:33.843"/>
    <n v="25"/>
    <s v="Yes"/>
    <s v="1:13.221"/>
    <x v="0"/>
    <x v="0"/>
    <n v="0"/>
    <x v="0"/>
    <s v="Yes"/>
    <n v="2025"/>
  </r>
  <r>
    <x v="7"/>
    <s v="2"/>
    <n v="2"/>
    <n v="16"/>
    <x v="7"/>
    <x v="6"/>
    <n v="2"/>
    <n v="78"/>
    <s v="+3.131"/>
    <n v="18"/>
    <s v="No"/>
    <s v="1:14.055"/>
    <x v="1"/>
    <x v="0"/>
    <n v="0"/>
    <x v="1"/>
    <s v="Yes"/>
    <n v="2025"/>
  </r>
  <r>
    <x v="7"/>
    <s v="3"/>
    <n v="3"/>
    <n v="81"/>
    <x v="8"/>
    <x v="0"/>
    <n v="3"/>
    <n v="78"/>
    <s v="+3.658"/>
    <n v="15"/>
    <s v="No"/>
    <s v="1:13.745"/>
    <x v="1"/>
    <x v="0"/>
    <n v="0"/>
    <x v="1"/>
    <s v="Yes"/>
    <n v="2025"/>
  </r>
  <r>
    <x v="7"/>
    <s v="4"/>
    <n v="4"/>
    <n v="1"/>
    <x v="1"/>
    <x v="1"/>
    <n v="4"/>
    <n v="78"/>
    <s v="+20.572"/>
    <n v="12"/>
    <s v="No"/>
    <s v="1:14.230"/>
    <x v="1"/>
    <x v="1"/>
    <n v="0"/>
    <x v="1"/>
    <s v="Yes"/>
    <n v="2025"/>
  </r>
  <r>
    <x v="7"/>
    <s v="5"/>
    <n v="5"/>
    <n v="44"/>
    <x v="9"/>
    <x v="6"/>
    <n v="7"/>
    <n v="78"/>
    <s v="+51.387"/>
    <n v="10"/>
    <s v="No"/>
    <s v="1:14.090"/>
    <x v="1"/>
    <x v="1"/>
    <n v="2"/>
    <x v="1"/>
    <s v="Yes"/>
    <n v="2025"/>
  </r>
  <r>
    <x v="7"/>
    <s v="6"/>
    <n v="6"/>
    <n v="6"/>
    <x v="19"/>
    <x v="8"/>
    <n v="5"/>
    <n v="77"/>
    <s v="+1 lap"/>
    <n v="8"/>
    <s v="No"/>
    <s v="1:15.981"/>
    <x v="1"/>
    <x v="1"/>
    <n v="-1"/>
    <x v="1"/>
    <s v="Yes"/>
    <n v="2025"/>
  </r>
  <r>
    <x v="7"/>
    <s v="7"/>
    <n v="7"/>
    <n v="31"/>
    <x v="12"/>
    <x v="9"/>
    <n v="8"/>
    <n v="77"/>
    <s v="+1 lap"/>
    <n v="6"/>
    <s v="No"/>
    <s v="1:15.157"/>
    <x v="1"/>
    <x v="1"/>
    <n v="1"/>
    <x v="1"/>
    <s v="Yes"/>
    <n v="2025"/>
  </r>
  <r>
    <x v="7"/>
    <s v="8"/>
    <n v="8"/>
    <n v="30"/>
    <x v="14"/>
    <x v="8"/>
    <n v="9"/>
    <n v="77"/>
    <s v="+1 lap"/>
    <n v="4"/>
    <s v="No"/>
    <s v="1:15.321"/>
    <x v="1"/>
    <x v="1"/>
    <n v="1"/>
    <x v="1"/>
    <s v="Yes"/>
    <n v="2025"/>
  </r>
  <r>
    <x v="7"/>
    <s v="9"/>
    <n v="9"/>
    <n v="23"/>
    <x v="4"/>
    <x v="3"/>
    <n v="10"/>
    <n v="76"/>
    <s v="+2 laps"/>
    <n v="2"/>
    <s v="No"/>
    <s v="1:14.597"/>
    <x v="1"/>
    <x v="1"/>
    <n v="1"/>
    <x v="1"/>
    <s v="Yes"/>
    <n v="2025"/>
  </r>
  <r>
    <x v="7"/>
    <s v="10"/>
    <n v="10"/>
    <n v="55"/>
    <x v="17"/>
    <x v="3"/>
    <n v="11"/>
    <n v="76"/>
    <s v="+2 laps"/>
    <n v="1"/>
    <s v="No"/>
    <s v="1:13.988"/>
    <x v="1"/>
    <x v="1"/>
    <n v="1"/>
    <x v="1"/>
    <s v="Yes"/>
    <n v="2025"/>
  </r>
  <r>
    <x v="7"/>
    <s v="11"/>
    <n v="11"/>
    <n v="63"/>
    <x v="2"/>
    <x v="2"/>
    <n v="14"/>
    <n v="76"/>
    <s v="+2 laps"/>
    <n v="0"/>
    <s v="No"/>
    <s v="1:13.405"/>
    <x v="1"/>
    <x v="1"/>
    <n v="3"/>
    <x v="1"/>
    <s v="No"/>
    <n v="2025"/>
  </r>
  <r>
    <x v="7"/>
    <s v="12"/>
    <n v="12"/>
    <n v="87"/>
    <x v="13"/>
    <x v="9"/>
    <n v="20"/>
    <n v="76"/>
    <s v="+2 laps"/>
    <n v="0"/>
    <s v="No"/>
    <s v="1:14.855"/>
    <x v="1"/>
    <x v="1"/>
    <n v="8"/>
    <x v="1"/>
    <s v="No"/>
    <n v="2025"/>
  </r>
  <r>
    <x v="7"/>
    <s v="13"/>
    <n v="13"/>
    <n v="43"/>
    <x v="20"/>
    <x v="7"/>
    <n v="18"/>
    <n v="76"/>
    <s v="+2 laps"/>
    <n v="0"/>
    <s v="No"/>
    <s v="1:15.298"/>
    <x v="1"/>
    <x v="1"/>
    <n v="5"/>
    <x v="1"/>
    <s v="No"/>
    <n v="2025"/>
  </r>
  <r>
    <x v="7"/>
    <s v="14"/>
    <n v="14"/>
    <n v="5"/>
    <x v="15"/>
    <x v="5"/>
    <n v="16"/>
    <n v="76"/>
    <s v="+2 laps"/>
    <n v="0"/>
    <s v="No"/>
    <s v="1:14.884"/>
    <x v="1"/>
    <x v="1"/>
    <n v="2"/>
    <x v="1"/>
    <s v="No"/>
    <n v="2025"/>
  </r>
  <r>
    <x v="7"/>
    <s v="15"/>
    <n v="15"/>
    <n v="18"/>
    <x v="5"/>
    <x v="4"/>
    <n v="19"/>
    <n v="76"/>
    <s v="+2 laps"/>
    <n v="0"/>
    <s v="No"/>
    <s v="1:14.877"/>
    <x v="1"/>
    <x v="1"/>
    <n v="4"/>
    <x v="1"/>
    <s v="No"/>
    <n v="2025"/>
  </r>
  <r>
    <x v="7"/>
    <s v="16"/>
    <n v="16"/>
    <n v="27"/>
    <x v="6"/>
    <x v="5"/>
    <n v="13"/>
    <n v="76"/>
    <s v="+2 laps"/>
    <n v="0"/>
    <s v="No"/>
    <s v="1:15.223"/>
    <x v="1"/>
    <x v="1"/>
    <n v="-3"/>
    <x v="1"/>
    <s v="No"/>
    <n v="2025"/>
  </r>
  <r>
    <x v="7"/>
    <s v="17"/>
    <n v="17"/>
    <n v="22"/>
    <x v="11"/>
    <x v="1"/>
    <n v="12"/>
    <n v="76"/>
    <s v="+2 laps"/>
    <n v="0"/>
    <s v="No"/>
    <s v="1:14.913"/>
    <x v="1"/>
    <x v="1"/>
    <n v="-5"/>
    <x v="1"/>
    <s v="No"/>
    <n v="2025"/>
  </r>
  <r>
    <x v="7"/>
    <s v="18"/>
    <n v="18"/>
    <n v="12"/>
    <x v="3"/>
    <x v="2"/>
    <n v="15"/>
    <n v="75"/>
    <s v="+3 laps"/>
    <n v="0"/>
    <s v="No"/>
    <s v="1:13.518"/>
    <x v="1"/>
    <x v="1"/>
    <n v="-3"/>
    <x v="1"/>
    <s v="No"/>
    <n v="2025"/>
  </r>
  <r>
    <x v="7"/>
    <s v="NC"/>
    <s v=""/>
    <n v="14"/>
    <x v="16"/>
    <x v="4"/>
    <n v="6"/>
    <n v="36"/>
    <s v="DNF"/>
    <n v="0"/>
    <s v="No"/>
    <s v="1:15.593"/>
    <x v="1"/>
    <x v="1"/>
    <n v="0"/>
    <x v="1"/>
    <s v="No"/>
    <n v="2025"/>
  </r>
  <r>
    <x v="7"/>
    <s v="NC"/>
    <s v=""/>
    <n v="10"/>
    <x v="10"/>
    <x v="7"/>
    <n v="17"/>
    <n v="7"/>
    <s v="DNF"/>
    <n v="0"/>
    <s v="No"/>
    <s v="1:18.054"/>
    <x v="1"/>
    <x v="1"/>
    <n v="0"/>
    <x v="1"/>
    <s v="No"/>
    <n v="2025"/>
  </r>
  <r>
    <x v="8"/>
    <s v="1"/>
    <n v="1"/>
    <n v="81"/>
    <x v="8"/>
    <x v="0"/>
    <n v="1"/>
    <n v="66"/>
    <s v="1:32:57.375"/>
    <n v="25"/>
    <s v="Yes"/>
    <s v="1:15.743"/>
    <x v="0"/>
    <x v="0"/>
    <n v="0"/>
    <x v="0"/>
    <s v="Yes"/>
    <n v="2025"/>
  </r>
  <r>
    <x v="8"/>
    <s v="2"/>
    <n v="2"/>
    <n v="4"/>
    <x v="0"/>
    <x v="0"/>
    <n v="2"/>
    <n v="66"/>
    <s v="+2.471"/>
    <n v="18"/>
    <s v="No"/>
    <s v="1:16.187"/>
    <x v="1"/>
    <x v="0"/>
    <n v="0"/>
    <x v="1"/>
    <s v="Yes"/>
    <n v="2025"/>
  </r>
  <r>
    <x v="8"/>
    <s v="3"/>
    <n v="3"/>
    <n v="16"/>
    <x v="7"/>
    <x v="6"/>
    <n v="7"/>
    <n v="66"/>
    <s v="+10.455"/>
    <n v="15"/>
    <s v="No"/>
    <s v="1:17.259"/>
    <x v="1"/>
    <x v="0"/>
    <n v="4"/>
    <x v="1"/>
    <s v="Yes"/>
    <n v="2025"/>
  </r>
  <r>
    <x v="8"/>
    <s v="4"/>
    <n v="4"/>
    <n v="63"/>
    <x v="2"/>
    <x v="2"/>
    <n v="4"/>
    <n v="66"/>
    <s v="+11.359"/>
    <n v="12"/>
    <s v="No"/>
    <s v="1:17.244"/>
    <x v="1"/>
    <x v="1"/>
    <n v="0"/>
    <x v="1"/>
    <s v="Yes"/>
    <n v="2025"/>
  </r>
  <r>
    <x v="8"/>
    <s v="5"/>
    <n v="5"/>
    <n v="27"/>
    <x v="6"/>
    <x v="5"/>
    <n v="15"/>
    <n v="66"/>
    <s v="+13.648"/>
    <n v="10"/>
    <s v="No"/>
    <s v="1:17.575"/>
    <x v="1"/>
    <x v="1"/>
    <n v="10"/>
    <x v="1"/>
    <s v="Yes"/>
    <n v="2025"/>
  </r>
  <r>
    <x v="8"/>
    <s v="6"/>
    <n v="6"/>
    <n v="44"/>
    <x v="9"/>
    <x v="6"/>
    <n v="5"/>
    <n v="66"/>
    <s v="+15.508"/>
    <n v="8"/>
    <s v="No"/>
    <s v="1:17.706"/>
    <x v="1"/>
    <x v="1"/>
    <n v="-1"/>
    <x v="1"/>
    <s v="Yes"/>
    <n v="2025"/>
  </r>
  <r>
    <x v="8"/>
    <s v="7"/>
    <n v="7"/>
    <n v="6"/>
    <x v="19"/>
    <x v="8"/>
    <n v="9"/>
    <n v="66"/>
    <s v="+16.022"/>
    <n v="6"/>
    <s v="No"/>
    <s v="1:17.770"/>
    <x v="1"/>
    <x v="1"/>
    <n v="2"/>
    <x v="1"/>
    <s v="Yes"/>
    <n v="2025"/>
  </r>
  <r>
    <x v="8"/>
    <s v="8"/>
    <n v="8"/>
    <n v="10"/>
    <x v="10"/>
    <x v="7"/>
    <n v="8"/>
    <n v="66"/>
    <s v="+17.882"/>
    <n v="4"/>
    <s v="No"/>
    <s v="1:17.896"/>
    <x v="1"/>
    <x v="1"/>
    <n v="0"/>
    <x v="1"/>
    <s v="Yes"/>
    <n v="2025"/>
  </r>
  <r>
    <x v="8"/>
    <s v="9"/>
    <n v="9"/>
    <n v="14"/>
    <x v="16"/>
    <x v="4"/>
    <n v="10"/>
    <n v="66"/>
    <s v="+21.564"/>
    <n v="2"/>
    <s v="No"/>
    <s v="1:18.128"/>
    <x v="1"/>
    <x v="1"/>
    <n v="1"/>
    <x v="1"/>
    <s v="Yes"/>
    <n v="2025"/>
  </r>
  <r>
    <x v="8"/>
    <s v="10"/>
    <n v="10"/>
    <n v="1"/>
    <x v="1"/>
    <x v="1"/>
    <n v="3"/>
    <n v="66"/>
    <s v="+21.826"/>
    <n v="1"/>
    <s v="No"/>
    <s v="1:17.019"/>
    <x v="1"/>
    <x v="1"/>
    <n v="-7"/>
    <x v="1"/>
    <s v="Yes"/>
    <n v="2025"/>
  </r>
  <r>
    <x v="8"/>
    <s v="11"/>
    <n v="11"/>
    <n v="30"/>
    <x v="14"/>
    <x v="8"/>
    <n v="13"/>
    <n v="66"/>
    <s v="+25.532"/>
    <n v="0"/>
    <s v="No"/>
    <s v="1:19.424"/>
    <x v="1"/>
    <x v="1"/>
    <n v="2"/>
    <x v="1"/>
    <s v="No"/>
    <n v="2025"/>
  </r>
  <r>
    <x v="8"/>
    <s v="12"/>
    <n v="12"/>
    <n v="5"/>
    <x v="15"/>
    <x v="5"/>
    <n v="12"/>
    <n v="66"/>
    <s v="+25.996"/>
    <n v="0"/>
    <s v="No"/>
    <s v="1:18.297"/>
    <x v="1"/>
    <x v="1"/>
    <n v="0"/>
    <x v="1"/>
    <s v="No"/>
    <n v="2025"/>
  </r>
  <r>
    <x v="8"/>
    <s v="13"/>
    <n v="13"/>
    <n v="22"/>
    <x v="11"/>
    <x v="1"/>
    <n v="19"/>
    <n v="66"/>
    <s v="+28.822"/>
    <n v="0"/>
    <s v="No"/>
    <s v="1:17.998"/>
    <x v="1"/>
    <x v="1"/>
    <n v="6"/>
    <x v="1"/>
    <s v="No"/>
    <n v="2025"/>
  </r>
  <r>
    <x v="8"/>
    <s v="14"/>
    <n v="14"/>
    <n v="55"/>
    <x v="17"/>
    <x v="3"/>
    <n v="17"/>
    <n v="66"/>
    <s v="+29.309"/>
    <n v="0"/>
    <s v="No"/>
    <s v="1:19.317"/>
    <x v="1"/>
    <x v="1"/>
    <n v="3"/>
    <x v="1"/>
    <s v="No"/>
    <n v="2025"/>
  </r>
  <r>
    <x v="8"/>
    <s v="15"/>
    <n v="15"/>
    <n v="43"/>
    <x v="20"/>
    <x v="7"/>
    <n v="18"/>
    <n v="66"/>
    <s v="+31.381"/>
    <n v="0"/>
    <s v="No"/>
    <s v="1:18.353"/>
    <x v="1"/>
    <x v="1"/>
    <n v="3"/>
    <x v="1"/>
    <s v="No"/>
    <n v="2025"/>
  </r>
  <r>
    <x v="8"/>
    <s v="16"/>
    <n v="16"/>
    <n v="31"/>
    <x v="12"/>
    <x v="9"/>
    <n v="16"/>
    <n v="66"/>
    <s v="+32.197"/>
    <n v="0"/>
    <s v="No"/>
    <s v="1:18.624"/>
    <x v="1"/>
    <x v="1"/>
    <n v="0"/>
    <x v="1"/>
    <s v="No"/>
    <n v="2025"/>
  </r>
  <r>
    <x v="8"/>
    <s v="17"/>
    <n v="17"/>
    <n v="87"/>
    <x v="13"/>
    <x v="9"/>
    <n v="14"/>
    <n v="66"/>
    <s v="+37.065"/>
    <n v="0"/>
    <s v="No"/>
    <s v="1:18.907"/>
    <x v="1"/>
    <x v="1"/>
    <n v="-3"/>
    <x v="1"/>
    <s v="No"/>
    <n v="2025"/>
  </r>
  <r>
    <x v="8"/>
    <s v="NC"/>
    <s v=""/>
    <n v="12"/>
    <x v="3"/>
    <x v="2"/>
    <n v="6"/>
    <n v="53"/>
    <s v="DNF"/>
    <n v="0"/>
    <s v="No"/>
    <s v="1:18.255"/>
    <x v="1"/>
    <x v="1"/>
    <n v="0"/>
    <x v="1"/>
    <s v="No"/>
    <n v="2025"/>
  </r>
  <r>
    <x v="8"/>
    <s v="NC"/>
    <s v=""/>
    <n v="23"/>
    <x v="4"/>
    <x v="3"/>
    <n v="11"/>
    <n v="27"/>
    <s v="DNF"/>
    <n v="0"/>
    <s v="No"/>
    <s v="1:20.508"/>
    <x v="1"/>
    <x v="1"/>
    <n v="0"/>
    <x v="1"/>
    <s v="No"/>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54E3C-E897-4E68-886A-76FCE19BBC94}"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B23" firstHeaderRow="1" firstDataRow="1" firstDataCol="1"/>
  <pivotFields count="18">
    <pivotField compact="0" outline="0" showAll="0">
      <items count="10">
        <item x="0"/>
        <item x="3"/>
        <item x="1"/>
        <item x="6"/>
        <item x="2"/>
        <item x="5"/>
        <item x="7"/>
        <item x="4"/>
        <item x="8"/>
        <item t="default"/>
      </items>
    </pivotField>
    <pivotField compact="0" outline="0" showAll="0"/>
    <pivotField compact="0" outline="0" showAll="0"/>
    <pivotField compact="0" outline="0" showAll="0"/>
    <pivotField axis="axisRow" compact="0" outline="0" showAll="0" sortType="descending">
      <items count="22">
        <item x="4"/>
        <item x="17"/>
        <item x="7"/>
        <item x="12"/>
        <item x="16"/>
        <item x="20"/>
        <item x="15"/>
        <item x="2"/>
        <item x="19"/>
        <item x="18"/>
        <item x="3"/>
        <item x="5"/>
        <item x="0"/>
        <item x="9"/>
        <item x="14"/>
        <item x="1"/>
        <item x="6"/>
        <item x="13"/>
        <item x="8"/>
        <item x="10"/>
        <item x="11"/>
        <item t="default"/>
      </items>
      <autoSortScope>
        <pivotArea dataOnly="0" outline="0" fieldPosition="0">
          <references count="1">
            <reference field="4294967294" count="1" selected="0">
              <x v="0"/>
            </reference>
          </references>
        </pivotArea>
      </autoSortScope>
    </pivotField>
    <pivotField compact="0" outline="0" showAll="0">
      <items count="11">
        <item x="7"/>
        <item x="4"/>
        <item x="6"/>
        <item x="9"/>
        <item x="5"/>
        <item x="0"/>
        <item x="2"/>
        <item x="8"/>
        <item x="1"/>
        <item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22">
    <i>
      <x v="18"/>
    </i>
    <i>
      <x v="12"/>
    </i>
    <i>
      <x v="15"/>
    </i>
    <i>
      <x v="7"/>
    </i>
    <i>
      <x v="2"/>
    </i>
    <i>
      <x v="13"/>
    </i>
    <i>
      <x v="10"/>
    </i>
    <i>
      <x/>
    </i>
    <i>
      <x v="8"/>
    </i>
    <i>
      <x v="3"/>
    </i>
    <i>
      <x v="16"/>
    </i>
    <i>
      <x v="1"/>
    </i>
    <i>
      <x v="19"/>
    </i>
    <i>
      <x v="11"/>
    </i>
    <i>
      <x v="17"/>
    </i>
    <i>
      <x v="20"/>
    </i>
    <i>
      <x v="14"/>
    </i>
    <i>
      <x v="4"/>
    </i>
    <i>
      <x v="6"/>
    </i>
    <i>
      <x v="5"/>
    </i>
    <i>
      <x v="9"/>
    </i>
    <i t="grand">
      <x/>
    </i>
  </rowItems>
  <colItems count="1">
    <i/>
  </colItems>
  <dataFields count="1">
    <dataField name="Championship Points" fld="9" baseField="3" baseItem="0"/>
  </dataFields>
  <chartFormats count="1">
    <chartFormat chart="9"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2F4C2-2413-4E52-8AE3-635527F4830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H24" firstHeaderRow="1" firstDataRow="1" firstDataCol="1"/>
  <pivotFields count="18">
    <pivotField showAll="0">
      <items count="10">
        <item x="0"/>
        <item x="3"/>
        <item x="1"/>
        <item x="6"/>
        <item x="2"/>
        <item x="5"/>
        <item x="7"/>
        <item x="4"/>
        <item x="8"/>
        <item t="default"/>
      </items>
    </pivotField>
    <pivotField showAll="0"/>
    <pivotField dataField="1" showAll="0"/>
    <pivotField showAll="0"/>
    <pivotField showAll="0">
      <items count="22">
        <item x="4"/>
        <item x="17"/>
        <item x="7"/>
        <item x="12"/>
        <item x="16"/>
        <item x="20"/>
        <item x="15"/>
        <item x="2"/>
        <item x="19"/>
        <item x="18"/>
        <item x="3"/>
        <item x="5"/>
        <item x="0"/>
        <item x="9"/>
        <item x="14"/>
        <item x="1"/>
        <item x="6"/>
        <item x="13"/>
        <item x="8"/>
        <item x="10"/>
        <item x="11"/>
        <item t="default"/>
      </items>
    </pivotField>
    <pivotField axis="axisRow" showAll="0" sortType="ascending">
      <items count="11">
        <item x="7"/>
        <item x="4"/>
        <item x="6"/>
        <item x="9"/>
        <item x="5"/>
        <item x="0"/>
        <item x="2"/>
        <item x="8"/>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5"/>
    </i>
    <i>
      <x v="2"/>
    </i>
    <i>
      <x v="6"/>
    </i>
    <i>
      <x v="8"/>
    </i>
    <i>
      <x v="9"/>
    </i>
    <i>
      <x v="7"/>
    </i>
    <i>
      <x v="3"/>
    </i>
    <i>
      <x/>
    </i>
    <i>
      <x v="1"/>
    </i>
    <i>
      <x v="4"/>
    </i>
    <i t="grand">
      <x/>
    </i>
  </rowItems>
  <colItems count="1">
    <i/>
  </colItems>
  <dataFields count="1">
    <dataField name="Average Finish Position" fld="2" subtotal="average" baseField="5" baseItem="0"/>
  </dataField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DA7F8C-C2F1-4945-A5A7-F718EB6451E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E24" firstHeaderRow="1" firstDataRow="1" firstDataCol="1"/>
  <pivotFields count="18">
    <pivotField showAll="0">
      <items count="10">
        <item x="0"/>
        <item x="3"/>
        <item x="1"/>
        <item x="6"/>
        <item x="2"/>
        <item x="5"/>
        <item x="7"/>
        <item x="4"/>
        <item x="8"/>
        <item t="default"/>
      </items>
    </pivotField>
    <pivotField showAll="0"/>
    <pivotField showAll="0"/>
    <pivotField showAll="0"/>
    <pivotField showAll="0">
      <items count="22">
        <item x="4"/>
        <item x="17"/>
        <item x="7"/>
        <item x="12"/>
        <item x="16"/>
        <item x="20"/>
        <item x="15"/>
        <item x="2"/>
        <item x="19"/>
        <item x="18"/>
        <item x="3"/>
        <item x="5"/>
        <item x="0"/>
        <item x="9"/>
        <item x="14"/>
        <item x="1"/>
        <item x="6"/>
        <item x="13"/>
        <item x="8"/>
        <item x="10"/>
        <item x="11"/>
        <item t="default"/>
      </items>
    </pivotField>
    <pivotField axis="axisRow" showAll="0" sortType="descending">
      <items count="11">
        <item x="7"/>
        <item x="4"/>
        <item x="6"/>
        <item x="9"/>
        <item x="5"/>
        <item x="0"/>
        <item x="2"/>
        <item x="8"/>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11">
    <i>
      <x v="5"/>
    </i>
    <i>
      <x v="2"/>
    </i>
    <i>
      <x v="6"/>
    </i>
    <i>
      <x v="8"/>
    </i>
    <i>
      <x v="9"/>
    </i>
    <i>
      <x v="3"/>
    </i>
    <i>
      <x v="7"/>
    </i>
    <i>
      <x v="4"/>
    </i>
    <i>
      <x v="1"/>
    </i>
    <i>
      <x/>
    </i>
    <i t="grand">
      <x/>
    </i>
  </rowItems>
  <colItems count="1">
    <i/>
  </colItems>
  <dataFields count="1">
    <dataField name="Constructor Point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E4964-360E-4ABB-83E8-8A29A3F1EE9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7" firstHeaderRow="1" firstDataRow="1" firstDataCol="1" rowPageCount="1" colPageCount="1"/>
  <pivotFields count="18">
    <pivotField showAll="0">
      <items count="10">
        <item x="0"/>
        <item x="3"/>
        <item x="1"/>
        <item x="6"/>
        <item x="2"/>
        <item x="5"/>
        <item x="7"/>
        <item x="4"/>
        <item x="8"/>
        <item t="default"/>
      </items>
    </pivotField>
    <pivotField showAll="0"/>
    <pivotField showAll="0"/>
    <pivotField showAll="0"/>
    <pivotField axis="axisRow" showAll="0" sortType="descending">
      <items count="22">
        <item x="4"/>
        <item x="17"/>
        <item x="7"/>
        <item x="12"/>
        <item x="16"/>
        <item x="20"/>
        <item x="15"/>
        <item x="2"/>
        <item x="19"/>
        <item x="18"/>
        <item x="3"/>
        <item x="5"/>
        <item x="0"/>
        <item x="9"/>
        <item x="14"/>
        <item x="1"/>
        <item x="6"/>
        <item x="13"/>
        <item x="8"/>
        <item x="10"/>
        <item x="11"/>
        <item t="default"/>
      </items>
      <autoSortScope>
        <pivotArea dataOnly="0" outline="0" fieldPosition="0">
          <references count="1">
            <reference field="4294967294" count="1" selected="0">
              <x v="0"/>
            </reference>
          </references>
        </pivotArea>
      </autoSortScope>
    </pivotField>
    <pivotField showAll="0">
      <items count="11">
        <item x="7"/>
        <item x="4"/>
        <item x="6"/>
        <item x="9"/>
        <item x="5"/>
        <item x="0"/>
        <item x="2"/>
        <item x="8"/>
        <item x="1"/>
        <item x="3"/>
        <item t="default"/>
      </items>
    </pivotField>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s>
  <rowFields count="1">
    <field x="4"/>
  </rowFields>
  <rowItems count="4">
    <i>
      <x v="18"/>
    </i>
    <i>
      <x v="12"/>
    </i>
    <i>
      <x v="15"/>
    </i>
    <i t="grand">
      <x/>
    </i>
  </rowItems>
  <colItems count="1">
    <i/>
  </colItems>
  <pageFields count="1">
    <pageField fld="12" item="1" hier="-1"/>
  </pageFields>
  <dataFields count="1">
    <dataField name="Race Wins" fld="1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C393DA-5A52-48B3-B983-B10D4C15A53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6" firstHeaderRow="1" firstDataRow="1" firstDataCol="1" rowPageCount="1" colPageCount="1"/>
  <pivotFields count="18">
    <pivotField showAll="0">
      <items count="10">
        <item x="0"/>
        <item x="3"/>
        <item x="1"/>
        <item x="6"/>
        <item x="2"/>
        <item x="5"/>
        <item x="7"/>
        <item x="4"/>
        <item x="8"/>
        <item t="default"/>
      </items>
    </pivotField>
    <pivotField showAll="0"/>
    <pivotField showAll="0"/>
    <pivotField showAll="0"/>
    <pivotField showAll="0">
      <items count="22">
        <item x="4"/>
        <item x="17"/>
        <item x="7"/>
        <item x="12"/>
        <item x="16"/>
        <item x="20"/>
        <item x="15"/>
        <item x="2"/>
        <item x="19"/>
        <item x="18"/>
        <item x="3"/>
        <item x="5"/>
        <item x="0"/>
        <item x="9"/>
        <item x="14"/>
        <item x="1"/>
        <item x="6"/>
        <item x="13"/>
        <item x="8"/>
        <item x="10"/>
        <item x="11"/>
        <item t="default"/>
      </items>
    </pivotField>
    <pivotField showAll="0">
      <items count="11">
        <item x="7"/>
        <item x="4"/>
        <item x="6"/>
        <item x="9"/>
        <item x="5"/>
        <item x="0"/>
        <item x="2"/>
        <item x="8"/>
        <item x="1"/>
        <item x="3"/>
        <item t="default"/>
      </items>
    </pivotField>
    <pivotField showAll="0"/>
    <pivotField showAll="0"/>
    <pivotField showAll="0"/>
    <pivotField showAll="0"/>
    <pivotField showAll="0"/>
    <pivotField showAll="0"/>
    <pivotField axis="axisPage" showAll="0">
      <items count="3">
        <item x="1"/>
        <item x="0"/>
        <item t="default"/>
      </items>
    </pivotField>
    <pivotField showAll="0"/>
    <pivotField showAll="0"/>
    <pivotField axis="axisRow" dataField="1" showAll="0">
      <items count="3">
        <item x="1"/>
        <item x="0"/>
        <item t="default"/>
      </items>
    </pivotField>
    <pivotField showAll="0"/>
    <pivotField showAll="0"/>
  </pivotFields>
  <rowFields count="1">
    <field x="15"/>
  </rowFields>
  <rowItems count="3">
    <i>
      <x/>
    </i>
    <i>
      <x v="1"/>
    </i>
    <i t="grand">
      <x/>
    </i>
  </rowItems>
  <colItems count="1">
    <i/>
  </colItems>
  <pageFields count="1">
    <pageField fld="12" item="1" hier="-1"/>
  </pageFields>
  <dataFields count="1">
    <dataField name="Count of Pole Winner" fld="15"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5" count="1" selected="0">
            <x v="0"/>
          </reference>
        </references>
      </pivotArea>
    </chartFormat>
    <chartFormat chart="6" format="6">
      <pivotArea type="data" outline="0" fieldPosition="0">
        <references count="2">
          <reference field="4294967294" count="1" selected="0">
            <x v="0"/>
          </reference>
          <reference field="15" count="1" selected="0">
            <x v="1"/>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10D0DF-FBDD-4E53-A714-7511CA07725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9" firstHeaderRow="1" firstDataRow="1" firstDataCol="1" rowPageCount="1" colPageCount="1"/>
  <pivotFields count="18">
    <pivotField showAll="0">
      <items count="10">
        <item x="0"/>
        <item x="3"/>
        <item x="1"/>
        <item x="6"/>
        <item x="2"/>
        <item x="5"/>
        <item x="7"/>
        <item x="4"/>
        <item x="8"/>
        <item t="default"/>
      </items>
    </pivotField>
    <pivotField showAll="0"/>
    <pivotField showAll="0"/>
    <pivotField showAll="0"/>
    <pivotField axis="axisRow" showAll="0" sortType="descending">
      <items count="22">
        <item x="4"/>
        <item x="17"/>
        <item x="7"/>
        <item x="12"/>
        <item x="16"/>
        <item x="20"/>
        <item x="15"/>
        <item x="2"/>
        <item x="19"/>
        <item x="18"/>
        <item x="3"/>
        <item x="5"/>
        <item x="0"/>
        <item x="9"/>
        <item x="14"/>
        <item x="1"/>
        <item x="6"/>
        <item x="13"/>
        <item x="8"/>
        <item x="10"/>
        <item x="11"/>
        <item t="default"/>
      </items>
      <autoSortScope>
        <pivotArea dataOnly="0" outline="0" fieldPosition="0">
          <references count="1">
            <reference field="4294967294" count="1" selected="0">
              <x v="0"/>
            </reference>
          </references>
        </pivotArea>
      </autoSortScope>
    </pivotField>
    <pivotField showAll="0">
      <items count="11">
        <item x="7"/>
        <item x="4"/>
        <item x="6"/>
        <item x="9"/>
        <item x="5"/>
        <item x="0"/>
        <item x="2"/>
        <item x="8"/>
        <item x="1"/>
        <item x="3"/>
        <item t="default"/>
      </items>
    </pivotField>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s>
  <rowFields count="1">
    <field x="4"/>
  </rowFields>
  <rowItems count="6">
    <i>
      <x v="18"/>
    </i>
    <i>
      <x v="12"/>
    </i>
    <i>
      <x v="7"/>
    </i>
    <i>
      <x v="15"/>
    </i>
    <i>
      <x v="2"/>
    </i>
    <i t="grand">
      <x/>
    </i>
  </rowItems>
  <colItems count="1">
    <i/>
  </colItems>
  <pageFields count="1">
    <pageField fld="13" item="1" hier="-1"/>
  </pageFields>
  <dataFields count="1">
    <dataField name="Podium Finishes"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9A17A5-CC14-4822-941B-18684A39930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51" firstHeaderRow="1" firstDataRow="1" firstDataCol="1"/>
  <pivotFields count="18">
    <pivotField showAll="0">
      <items count="10">
        <item x="0"/>
        <item x="3"/>
        <item x="1"/>
        <item x="6"/>
        <item x="2"/>
        <item x="5"/>
        <item x="7"/>
        <item x="4"/>
        <item x="8"/>
        <item t="default"/>
      </items>
    </pivotField>
    <pivotField showAll="0"/>
    <pivotField showAll="0"/>
    <pivotField showAll="0"/>
    <pivotField axis="axisRow" showAll="0" sortType="descending">
      <items count="22">
        <item x="4"/>
        <item x="17"/>
        <item x="7"/>
        <item x="12"/>
        <item x="16"/>
        <item x="20"/>
        <item x="15"/>
        <item x="2"/>
        <item x="19"/>
        <item x="18"/>
        <item x="3"/>
        <item x="5"/>
        <item x="0"/>
        <item x="9"/>
        <item x="14"/>
        <item x="1"/>
        <item x="6"/>
        <item x="13"/>
        <item x="8"/>
        <item x="10"/>
        <item x="11"/>
        <item t="default"/>
      </items>
      <autoSortScope>
        <pivotArea dataOnly="0" outline="0" fieldPosition="0">
          <references count="1">
            <reference field="4294967294" count="1" selected="0">
              <x v="0"/>
            </reference>
          </references>
        </pivotArea>
      </autoSortScope>
    </pivotField>
    <pivotField showAll="0">
      <items count="11">
        <item x="7"/>
        <item x="4"/>
        <item x="6"/>
        <item x="9"/>
        <item x="5"/>
        <item x="0"/>
        <item x="2"/>
        <item x="8"/>
        <item x="1"/>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22">
    <i>
      <x v="18"/>
    </i>
    <i>
      <x v="12"/>
    </i>
    <i>
      <x v="15"/>
    </i>
    <i>
      <x v="7"/>
    </i>
    <i>
      <x v="2"/>
    </i>
    <i>
      <x v="13"/>
    </i>
    <i>
      <x v="10"/>
    </i>
    <i>
      <x/>
    </i>
    <i>
      <x v="8"/>
    </i>
    <i>
      <x v="3"/>
    </i>
    <i>
      <x v="16"/>
    </i>
    <i>
      <x v="1"/>
    </i>
    <i>
      <x v="19"/>
    </i>
    <i>
      <x v="11"/>
    </i>
    <i>
      <x v="17"/>
    </i>
    <i>
      <x v="20"/>
    </i>
    <i>
      <x v="14"/>
    </i>
    <i>
      <x v="4"/>
    </i>
    <i>
      <x v="6"/>
    </i>
    <i>
      <x v="5"/>
    </i>
    <i>
      <x v="9"/>
    </i>
    <i t="grand">
      <x/>
    </i>
  </rowItems>
  <colItems count="1">
    <i/>
  </colItems>
  <dataFields count="1">
    <dataField name="Total Point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E8B642-9F40-412D-BC86-4027B2A2B65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1:K14" firstHeaderRow="1" firstDataRow="1" firstDataCol="1"/>
  <pivotFields count="5">
    <pivotField axis="axisRow" showAll="0">
      <items count="3">
        <item x="1"/>
        <item x="0"/>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Total Point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1D10280-49A9-4CA6-AE2E-5AA414A5A2CD}" autoFormatId="16" applyNumberFormats="0" applyBorderFormats="0" applyFontFormats="0" applyPatternFormats="0" applyAlignmentFormats="0" applyWidthHeightFormats="0">
  <queryTableRefresh nextId="19" unboundColumnsRight="6">
    <queryTableFields count="18">
      <queryTableField id="1" name="Track" tableColumnId="1"/>
      <queryTableField id="2" name="Position" tableColumnId="2"/>
      <queryTableField id="18" dataBound="0" tableColumnId="18"/>
      <queryTableField id="3" name="No" tableColumnId="3"/>
      <queryTableField id="4" name="Driver" tableColumnId="4"/>
      <queryTableField id="5" name="Team" tableColumnId="5"/>
      <queryTableField id="6" name="Starting Grid" tableColumnId="6"/>
      <queryTableField id="7" name="Laps" tableColumnId="7"/>
      <queryTableField id="8" name="Time/Retired" tableColumnId="8"/>
      <queryTableField id="9" name="Points" tableColumnId="9"/>
      <queryTableField id="10" name="Set Fastest Lap" tableColumnId="10"/>
      <queryTableField id="11" name="Fastest Lap Time"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919074D-5712-419C-8BD8-B1EEA899C36A}" autoFormatId="16" applyNumberFormats="0" applyBorderFormats="0" applyFontFormats="0" applyPatternFormats="0" applyAlignmentFormats="0" applyWidthHeightFormats="0">
  <queryTableRefresh nextId="10">
    <queryTableFields count="9">
      <queryTableField id="1" name="Track" tableColumnId="1"/>
      <queryTableField id="2" name="Position" tableColumnId="2"/>
      <queryTableField id="3" name="No" tableColumnId="3"/>
      <queryTableField id="4" name="Driver" tableColumnId="4"/>
      <queryTableField id="5" name="Team" tableColumnId="5"/>
      <queryTableField id="6" name="Q1" tableColumnId="6"/>
      <queryTableField id="7" name="Q2" tableColumnId="7"/>
      <queryTableField id="8" name="Q3" tableColumnId="8"/>
      <queryTableField id="9" name="Lap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BBD64162-18A9-4B93-8631-01B327823745}" autoFormatId="16" applyNumberFormats="0" applyBorderFormats="0" applyFontFormats="0" applyPatternFormats="0" applyAlignmentFormats="0" applyWidthHeightFormats="0">
  <queryTableRefresh nextId="16">
    <queryTableFields count="15">
      <queryTableField id="1" name="Driver" tableColumnId="1"/>
      <queryTableField id="2" name="Abbreviation" tableColumnId="2"/>
      <queryTableField id="3" name="Race Number" tableColumnId="3"/>
      <queryTableField id="4" name="Team" tableColumnId="4"/>
      <queryTableField id="5" name="Country" tableColumnId="5"/>
      <queryTableField id="6" name="Grand Prix Entered" tableColumnId="6"/>
      <queryTableField id="7" name="Career Points" tableColumnId="7"/>
      <queryTableField id="8" name="Highest Race Finish" tableColumnId="8"/>
      <queryTableField id="9" name="Podiums" tableColumnId="9"/>
      <queryTableField id="10" name="Highest Grid Position" tableColumnId="10"/>
      <queryTableField id="11" name="Pole Positions" tableColumnId="11"/>
      <queryTableField id="12" name="World Championships" tableColumnId="12"/>
      <queryTableField id="13" name="DNFs" tableColumnId="13"/>
      <queryTableField id="14" name="Date of Birth" tableColumnId="14"/>
      <queryTableField id="15" name="Place of Birth"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A1915BCC-81F9-440C-9F2A-88F13C02317D}" autoFormatId="16" applyNumberFormats="0" applyBorderFormats="0" applyFontFormats="0" applyPatternFormats="0" applyAlignmentFormats="0" applyWidthHeightFormats="0">
  <queryTableRefresh nextId="16">
    <queryTableFields count="15">
      <queryTableField id="1" name="Team" tableColumnId="1"/>
      <queryTableField id="2" name="Full Team Name" tableColumnId="2"/>
      <queryTableField id="3" name="Base" tableColumnId="3"/>
      <queryTableField id="4" name="Team Chief" tableColumnId="4"/>
      <queryTableField id="5" name="Technical Chief" tableColumnId="5"/>
      <queryTableField id="6" name="Chassis" tableColumnId="6"/>
      <queryTableField id="7" name="Power Unit" tableColumnId="7"/>
      <queryTableField id="8" name="First Team Entry" tableColumnId="8"/>
      <queryTableField id="9" name="Grand Prix Entered" tableColumnId="9"/>
      <queryTableField id="10" name="Team Points" tableColumnId="10"/>
      <queryTableField id="11" name="Highest Race Finish" tableColumnId="11"/>
      <queryTableField id="12" name="Podiums" tableColumnId="12"/>
      <queryTableField id="13" name="Highest Grid Position" tableColumnId="13"/>
      <queryTableField id="14" name="Pole Positions" tableColumnId="14"/>
      <queryTableField id="15" name="World Championships"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B643CB09-9573-4571-AAA7-8091FDA8D121}" autoFormatId="16" applyNumberFormats="0" applyBorderFormats="0" applyFontFormats="0" applyPatternFormats="0" applyAlignmentFormats="0" applyWidthHeightFormats="0">
  <queryTableRefresh nextId="14" unboundColumnsRight="2">
    <queryTableFields count="13">
      <queryTableField id="1" name="Track" tableColumnId="1"/>
      <queryTableField id="2" name="Position" tableColumnId="2"/>
      <queryTableField id="3" name="No" tableColumnId="3"/>
      <queryTableField id="4" name="Driver" tableColumnId="4"/>
      <queryTableField id="5" name="Team" tableColumnId="5"/>
      <queryTableField id="6" name="Starting Grid" tableColumnId="6"/>
      <queryTableField id="7" name="Laps" tableColumnId="7"/>
      <queryTableField id="8" name="Time/Retired" tableColumnId="8"/>
      <queryTableField id="9" name="Points" tableColumnId="9"/>
      <queryTableField id="10" name="Set Fastest Lap" tableColumnId="10"/>
      <queryTableField id="11" name="Fastest Lap Time" tableColumnId="11"/>
      <queryTableField id="13" dataBound="0" tableColumnId="13"/>
      <queryTableField id="12" dataBound="0"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9255AA10-C9F3-4454-9E8C-97DF3F4BA9B5}" autoFormatId="16" applyNumberFormats="0" applyBorderFormats="0" applyFontFormats="0" applyPatternFormats="0" applyAlignmentFormats="0" applyWidthHeightFormats="0">
  <queryTableRefresh nextId="10">
    <queryTableFields count="9">
      <queryTableField id="1" name="Track" tableColumnId="1"/>
      <queryTableField id="2" name="Position" tableColumnId="2"/>
      <queryTableField id="3" name="No" tableColumnId="3"/>
      <queryTableField id="4" name="Driver" tableColumnId="4"/>
      <queryTableField id="5" name="Team" tableColumnId="5"/>
      <queryTableField id="6" name="Q1" tableColumnId="6"/>
      <queryTableField id="7" name="Q2" tableColumnId="7"/>
      <queryTableField id="8" name="Q3" tableColumnId="8"/>
      <queryTableField id="9" name="Lap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ck" xr10:uid="{70F63A9A-2D90-41DA-8226-70FCB1C259D9}" sourceName="Track">
  <pivotTables>
    <pivotTable tabId="2" name="PivotTable1"/>
    <pivotTable tabId="2" name="PivotTable10"/>
    <pivotTable tabId="2" name="PivotTable17"/>
    <pivotTable tabId="2" name="PivotTable2"/>
    <pivotTable tabId="2" name="PivotTable3"/>
    <pivotTable tabId="2" name="PivotTable6"/>
    <pivotTable tabId="2" name="PivotTable7"/>
  </pivotTables>
  <data>
    <tabular pivotCacheId="1135802985">
      <items count="9">
        <i x="0" s="1"/>
        <i x="3" s="1"/>
        <i x="1" s="1"/>
        <i x="6" s="1"/>
        <i x="2" s="1"/>
        <i x="5" s="1"/>
        <i x="7" s="1"/>
        <i x="4"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 xr10:uid="{590A11C2-052E-493C-A02C-FA1B30CAA9B5}" sourceName="Driver">
  <pivotTables>
    <pivotTable tabId="2" name="PivotTable1"/>
    <pivotTable tabId="2" name="PivotTable10"/>
    <pivotTable tabId="2" name="PivotTable17"/>
    <pivotTable tabId="2" name="PivotTable2"/>
    <pivotTable tabId="2" name="PivotTable3"/>
    <pivotTable tabId="2" name="PivotTable6"/>
    <pivotTable tabId="2" name="PivotTable7"/>
  </pivotTables>
  <data>
    <tabular pivotCacheId="1135802985">
      <items count="21">
        <i x="4" s="1"/>
        <i x="17" s="1"/>
        <i x="7" s="1"/>
        <i x="12" s="1"/>
        <i x="16" s="1"/>
        <i x="20" s="1"/>
        <i x="15" s="1"/>
        <i x="2" s="1"/>
        <i x="19" s="1"/>
        <i x="18" s="1"/>
        <i x="3" s="1"/>
        <i x="5" s="1"/>
        <i x="0" s="1"/>
        <i x="9" s="1"/>
        <i x="14" s="1"/>
        <i x="1" s="1"/>
        <i x="6" s="1"/>
        <i x="13" s="1"/>
        <i x="8"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D4C3A291-1715-463E-B152-EF13411417A3}" sourceName="Team">
  <pivotTables>
    <pivotTable tabId="2" name="PivotTable1"/>
    <pivotTable tabId="2" name="PivotTable10"/>
    <pivotTable tabId="2" name="PivotTable17"/>
    <pivotTable tabId="2" name="PivotTable2"/>
    <pivotTable tabId="2" name="PivotTable3"/>
    <pivotTable tabId="2" name="PivotTable6"/>
    <pivotTable tabId="2" name="PivotTable7"/>
  </pivotTables>
  <data>
    <tabular pivotCacheId="1135802985">
      <items count="10">
        <i x="7" s="1"/>
        <i x="4" s="1"/>
        <i x="6" s="1"/>
        <i x="9" s="1"/>
        <i x="5" s="1"/>
        <i x="0" s="1"/>
        <i x="2" s="1"/>
        <i x="8"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C7CA805-6455-4907-9E87-0362E867402F}" sourceName="Season">
  <pivotTables>
    <pivotTable tabId="2" name="PivotTable18"/>
  </pivotTables>
  <data>
    <tabular pivotCacheId="7549495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ck 1" xr10:uid="{BBAC571F-96BC-4187-8C1A-72B8D6C30ECF}" cache="Slicer_Track" caption="Track" style="Slicer Style 4" rowHeight="241300"/>
  <slicer name="Driver 1" xr10:uid="{00B8FF94-9706-4AC3-940A-D30844C64CB7}" cache="Slicer_Driver" caption="Driver" startItem="8" style="Slicer Style 4" rowHeight="241300"/>
  <slicer name="Team 1" xr10:uid="{30D2E347-DEE2-4848-B63A-5EC70749B0ED}" cache="Slicer_Team" caption="Team" style="Slicer Style 4" rowHeight="241300"/>
  <slicer name="Season 1" xr10:uid="{34EA86D9-EA11-4AAD-A3CA-2F5DF2B6604F}" cache="Slicer_Season" caption="Season" style="Slicer Style 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E815D2-E958-42D1-AA38-518C76F5F0A0}" name="tblComparison" displayName="tblComparison" ref="A1:E379" totalsRowShown="0" headerRowDxfId="61" dataDxfId="60" tableBorderDxfId="59">
  <autoFilter ref="A1:E379" xr:uid="{BCE815D2-E958-42D1-AA38-518C76F5F0A0}"/>
  <tableColumns count="5">
    <tableColumn id="1" xr3:uid="{82314ABD-20E3-4DCA-B52A-B6C6299B6091}" name="Season" dataDxfId="58"/>
    <tableColumn id="2" xr3:uid="{66059112-01D7-485C-874A-8C5326BA86E9}" name="Driver" dataDxfId="57"/>
    <tableColumn id="3" xr3:uid="{8F04AAC1-B990-4507-96BF-29FA83C01512}" name="Team" dataDxfId="56"/>
    <tableColumn id="4" xr3:uid="{546AE5AB-791E-4B04-9C52-CE2808A5137F}" name="Points" dataDxfId="55"/>
    <tableColumn id="5" xr3:uid="{6F0653B4-6801-4977-A7FE-55313CF1FDFD}" name="Winner" dataDxfId="54"/>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28A57C-658A-4D11-AA71-4F57FF862645}" name="tblRace2025" displayName="tblRace2025" ref="A1:R180" tableType="queryTable" totalsRowShown="0">
  <autoFilter ref="A1:R180" xr:uid="{6C28A57C-658A-4D11-AA71-4F57FF862645}"/>
  <tableColumns count="18">
    <tableColumn id="1" xr3:uid="{D8A6A228-6424-4F2E-9751-75368A2B6B45}" uniqueName="1" name="Track" queryTableFieldId="1" dataDxfId="53"/>
    <tableColumn id="2" xr3:uid="{8D5E65E5-11DE-4DDC-BE6F-02CCF88FBBAA}" uniqueName="2" name="Position" queryTableFieldId="2" dataDxfId="52"/>
    <tableColumn id="18" xr3:uid="{0CD0FFE9-7E6F-48FA-BDDD-CDD7BB591204}" uniqueName="18" name="Numeric Position" queryTableFieldId="18" dataDxfId="51">
      <calculatedColumnFormula>IFERROR(VALUE(tblRace2025[[#This Row],[Position]]),"")</calculatedColumnFormula>
    </tableColumn>
    <tableColumn id="3" xr3:uid="{97A7F4B6-28A3-478A-8B06-D3439437FDF4}" uniqueName="3" name="No" queryTableFieldId="3"/>
    <tableColumn id="4" xr3:uid="{CBC87EAB-35FD-4FE5-A35C-C324E43EA64D}" uniqueName="4" name="Driver" queryTableFieldId="4" dataDxfId="50"/>
    <tableColumn id="5" xr3:uid="{9588FFDD-0338-4D52-A576-E673054220D7}" uniqueName="5" name="Team" queryTableFieldId="5" dataDxfId="49"/>
    <tableColumn id="6" xr3:uid="{4C239215-891E-40C7-921F-EFFB1237870B}" uniqueName="6" name="Starting Grid" queryTableFieldId="6"/>
    <tableColumn id="7" xr3:uid="{017C0A20-3087-4188-B032-129502D40AC1}" uniqueName="7" name="Laps" queryTableFieldId="7"/>
    <tableColumn id="8" xr3:uid="{D9B79731-6242-4D07-84AD-D27220C0A678}" uniqueName="8" name="Time/Retired" queryTableFieldId="8" dataDxfId="48"/>
    <tableColumn id="9" xr3:uid="{FD73DF82-C0C1-4FBD-8E62-73FC7DFEE072}" uniqueName="9" name="Points" queryTableFieldId="9"/>
    <tableColumn id="10" xr3:uid="{44FB6645-0CEE-4589-AE82-28F7C2FFDBB2}" uniqueName="10" name="Set Fastest Lap" queryTableFieldId="10" dataDxfId="47"/>
    <tableColumn id="11" xr3:uid="{BAC8B9C1-CC62-46A2-BA1A-F283CC999CAF}" uniqueName="11" name="Fastest Lap Time" queryTableFieldId="11" dataDxfId="46"/>
    <tableColumn id="12" xr3:uid="{364EDADA-AFB9-4104-A0F9-31E235191350}" uniqueName="12" name="Winner" queryTableFieldId="12" dataDxfId="45">
      <calculatedColumnFormula>IFERROR(IF(VALUE(tblRace2025[[#This Row],[Position]])=1,"Yes","No"),"No")</calculatedColumnFormula>
    </tableColumn>
    <tableColumn id="13" xr3:uid="{D72260B6-5EF0-441E-AA96-DC8E120ECF5D}" uniqueName="13" name="Podium" queryTableFieldId="13" dataDxfId="44">
      <calculatedColumnFormula>IFERROR(IF(VALUE(tblRace2025[[#This Row],[Position]])&lt;=3,"Yes","No"),"No")</calculatedColumnFormula>
    </tableColumn>
    <tableColumn id="14" xr3:uid="{1CE8B73A-9B28-44B6-839E-C994CCB1CBBA}" uniqueName="14" name="Positions Gained" queryTableFieldId="14" dataDxfId="43">
      <calculatedColumnFormula>IFERROR(VALUE(tblRace2025[[#This Row],[Starting Grid]])-VALUE(tblRace2025[[#This Row],[Position]]),0)</calculatedColumnFormula>
    </tableColumn>
    <tableColumn id="15" xr3:uid="{DFED7C3F-96B1-4F03-8FCF-DDA9904CB8A7}" uniqueName="15" name="Pole Winner" queryTableFieldId="15" dataDxfId="42">
      <calculatedColumnFormula>IFERROR(IF(AND(VALUE(tblRace2025[[#This Row],[Starting Grid]])=1,VALUE(tblRace2025[[#This Row],[Position]])=1),"Yes","No"),"No")</calculatedColumnFormula>
    </tableColumn>
    <tableColumn id="16" xr3:uid="{4A87A0E0-20D6-4E05-974A-171CEA95CE28}" uniqueName="16" name="Points Finish" queryTableFieldId="16" dataDxfId="41">
      <calculatedColumnFormula>IF(tblRace2025[[#This Row],[Points]]&gt;0,"Yes","No")</calculatedColumnFormula>
    </tableColumn>
    <tableColumn id="17" xr3:uid="{3736A124-4F01-414B-B882-97403CD255E8}" uniqueName="17" name="Season" queryTableFieldId="17" dataDxfId="4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BF9B00-3756-4FBF-868E-FF5376AF4F6E}" name="tblQuali2025" displayName="tblQuali2025" ref="A1:I181" tableType="queryTable" totalsRowShown="0">
  <autoFilter ref="A1:I181" xr:uid="{E1BF9B00-3756-4FBF-868E-FF5376AF4F6E}"/>
  <tableColumns count="9">
    <tableColumn id="1" xr3:uid="{CDA18D04-18CC-4CF3-98F9-A9870A43FDAF}" uniqueName="1" name="Track" queryTableFieldId="1" dataDxfId="39"/>
    <tableColumn id="2" xr3:uid="{BD55D872-B5DD-406C-A78C-B97376E78A82}" uniqueName="2" name="Position" queryTableFieldId="2" dataDxfId="38"/>
    <tableColumn id="3" xr3:uid="{C5B89550-A3EF-4752-9420-11974FC26C9A}" uniqueName="3" name="No" queryTableFieldId="3"/>
    <tableColumn id="4" xr3:uid="{47634D3E-BF53-4909-8090-863A36443867}" uniqueName="4" name="Driver" queryTableFieldId="4" dataDxfId="37"/>
    <tableColumn id="5" xr3:uid="{EA5B0F14-74AC-4A48-8F3D-40AA6DA25C12}" uniqueName="5" name="Team" queryTableFieldId="5" dataDxfId="36"/>
    <tableColumn id="6" xr3:uid="{84222B36-048E-42FF-8D2E-93793DFEB807}" uniqueName="6" name="Q1" queryTableFieldId="6" dataDxfId="35"/>
    <tableColumn id="7" xr3:uid="{B403BEF8-CC6B-42EB-81C5-D66ADEDEAFE9}" uniqueName="7" name="Q2" queryTableFieldId="7" dataDxfId="34"/>
    <tableColumn id="8" xr3:uid="{9FD56F34-B50E-4801-B8F7-94E4C427B55E}" uniqueName="8" name="Q3" queryTableFieldId="8" dataDxfId="33"/>
    <tableColumn id="9" xr3:uid="{B580E757-1354-411C-8546-80AF8165FA6D}" uniqueName="9" name="Laps"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5667FD-4B3F-4567-9CB3-FECFE5907CC6}" name="tblDrivers" displayName="tblDrivers" ref="A1:O22" tableType="queryTable" totalsRowShown="0">
  <autoFilter ref="A1:O22" xr:uid="{A55667FD-4B3F-4567-9CB3-FECFE5907CC6}"/>
  <tableColumns count="15">
    <tableColumn id="1" xr3:uid="{044937CB-B1D3-4139-9B10-6CBD89C44598}" uniqueName="1" name="Driver" queryTableFieldId="1" dataDxfId="32"/>
    <tableColumn id="2" xr3:uid="{2883B16E-6EBB-458D-A42D-1D5E21834E06}" uniqueName="2" name="Abbreviation" queryTableFieldId="2" dataDxfId="31"/>
    <tableColumn id="3" xr3:uid="{6D0EEC6A-A576-4335-8B76-0A74CB310AD2}" uniqueName="3" name="Race Number" queryTableFieldId="3"/>
    <tableColumn id="4" xr3:uid="{3520599C-4380-4A05-BDE8-3468DC85B3B9}" uniqueName="4" name="Team" queryTableFieldId="4" dataDxfId="30"/>
    <tableColumn id="5" xr3:uid="{1BA86AB4-1DB6-4368-9C8C-19D688454699}" uniqueName="5" name="Country" queryTableFieldId="5" dataDxfId="29"/>
    <tableColumn id="6" xr3:uid="{976B3EE7-1CA9-4CC4-9426-DF873B9DCE67}" uniqueName="6" name="Grand Prix Entered" queryTableFieldId="6"/>
    <tableColumn id="7" xr3:uid="{8D55D6E2-DD97-4221-857C-E0D897847B72}" uniqueName="7" name="Career Points" queryTableFieldId="7"/>
    <tableColumn id="8" xr3:uid="{85578813-43D2-4390-8281-8E5FCB55C7C5}" uniqueName="8" name="Highest Race Finish" queryTableFieldId="8" dataDxfId="28"/>
    <tableColumn id="9" xr3:uid="{B81452FD-DB63-47F4-94B1-411F027E365A}" uniqueName="9" name="Podiums" queryTableFieldId="9"/>
    <tableColumn id="10" xr3:uid="{FED99940-EACF-48FB-B40C-610F8A8366A9}" uniqueName="10" name="Highest Grid Position" queryTableFieldId="10" dataDxfId="27"/>
    <tableColumn id="11" xr3:uid="{60A6076B-2DC0-4F04-A401-0DF61499FF80}" uniqueName="11" name="Pole Positions" queryTableFieldId="11"/>
    <tableColumn id="12" xr3:uid="{CFC8018B-7904-48BD-9E2C-7B2C0E81FCFA}" uniqueName="12" name="World Championships" queryTableFieldId="12"/>
    <tableColumn id="13" xr3:uid="{B6C140D0-BD9C-42A3-BA05-24871FA922FC}" uniqueName="13" name="DNFs" queryTableFieldId="13"/>
    <tableColumn id="14" xr3:uid="{77D4F33A-72D1-46BB-AC9A-916E457F9046}" uniqueName="14" name="Date of Birth" queryTableFieldId="14" dataDxfId="26"/>
    <tableColumn id="15" xr3:uid="{9FD33A4F-E6A9-4C04-BFDE-37C55E4D1D2C}" uniqueName="15" name="Place of Birth" queryTableFieldId="15"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18695E-DC28-4BAC-A8D3-223F17C168B9}" name="tblTeams" displayName="tblTeams" ref="A1:O11" tableType="queryTable" totalsRowShown="0">
  <autoFilter ref="A1:O11" xr:uid="{EA18695E-DC28-4BAC-A8D3-223F17C168B9}"/>
  <tableColumns count="15">
    <tableColumn id="1" xr3:uid="{39B17BDA-149F-4172-8CE2-022EC2DD44E4}" uniqueName="1" name="Team" queryTableFieldId="1" dataDxfId="24"/>
    <tableColumn id="2" xr3:uid="{C91AEADE-2C34-4081-996A-BD9FA528E61F}" uniqueName="2" name="Full Team Name" queryTableFieldId="2" dataDxfId="23"/>
    <tableColumn id="3" xr3:uid="{FFCEDD51-F202-4BD6-B23E-15D09FDAAC22}" uniqueName="3" name="Base" queryTableFieldId="3" dataDxfId="22"/>
    <tableColumn id="4" xr3:uid="{A8F02D69-A919-43D1-A5A4-6D7700C4789A}" uniqueName="4" name="Team Chief" queryTableFieldId="4" dataDxfId="21"/>
    <tableColumn id="5" xr3:uid="{727414C0-A7FD-4393-94C1-016E2FE1CC84}" uniqueName="5" name="Technical Chief" queryTableFieldId="5" dataDxfId="20"/>
    <tableColumn id="6" xr3:uid="{40DC6EAD-1388-413F-803B-FB67D9F27F74}" uniqueName="6" name="Chassis" queryTableFieldId="6" dataDxfId="19"/>
    <tableColumn id="7" xr3:uid="{22B4BAA9-CF4D-4A08-A346-D0B89F00CC75}" uniqueName="7" name="Power Unit" queryTableFieldId="7" dataDxfId="18"/>
    <tableColumn id="8" xr3:uid="{113C0E2D-EECA-4D1D-9CBA-55BE8932AA5A}" uniqueName="8" name="First Team Entry" queryTableFieldId="8"/>
    <tableColumn id="9" xr3:uid="{404A13CF-372C-4810-98CF-6DE9FD48C016}" uniqueName="9" name="Grand Prix Entered" queryTableFieldId="9"/>
    <tableColumn id="10" xr3:uid="{CF799F4D-900D-49CE-BF04-EB3B88C7C110}" uniqueName="10" name="Team Points" queryTableFieldId="10"/>
    <tableColumn id="11" xr3:uid="{B27047BA-AABB-4EBA-994F-9875042A8428}" uniqueName="11" name="Highest Race Finish" queryTableFieldId="11" dataDxfId="17"/>
    <tableColumn id="12" xr3:uid="{FC142164-6EB8-4A4F-88B5-D0459D9EBFF6}" uniqueName="12" name="Podiums" queryTableFieldId="12"/>
    <tableColumn id="13" xr3:uid="{A6D68A0D-607E-450A-BCCA-807ADFC2B7DD}" uniqueName="13" name="Highest Grid Position" queryTableFieldId="13" dataDxfId="16"/>
    <tableColumn id="14" xr3:uid="{3FD61458-BA5B-4092-8F61-53417678CD9E}" uniqueName="14" name="Pole Positions" queryTableFieldId="14"/>
    <tableColumn id="15" xr3:uid="{C588324E-9104-45B8-A4AC-6928FFDBB30F}" uniqueName="15" name="World Championships" queryTableField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DFF314-29D2-4489-B0BF-E33628C9E1B1}" name="tblRace2024" displayName="tblRace2024" ref="A1:M480" tableType="queryTable" totalsRowShown="0">
  <autoFilter ref="A1:M480" xr:uid="{66DFF314-29D2-4489-B0BF-E33628C9E1B1}">
    <filterColumn colId="0">
      <filters>
        <filter val="Australia"/>
        <filter val="Bahrain"/>
        <filter val="China"/>
        <filter val="Emilia Romagna"/>
        <filter val="Japan"/>
        <filter val="Mexico"/>
        <filter val="Miami"/>
        <filter val="Monaco"/>
        <filter val="Saudi Arabia"/>
        <filter val="Spain"/>
      </filters>
    </filterColumn>
  </autoFilter>
  <tableColumns count="13">
    <tableColumn id="1" xr3:uid="{88FF3CCD-55A1-4C92-B823-17CE3A68B542}" uniqueName="1" name="Track" queryTableFieldId="1" dataDxfId="15"/>
    <tableColumn id="2" xr3:uid="{F4FBB576-D5DA-4FDE-AC3B-30809A01A2ED}" uniqueName="2" name="Position" queryTableFieldId="2" dataDxfId="14"/>
    <tableColumn id="3" xr3:uid="{C347E0B2-C826-49B2-B9DD-CDF9A3121328}" uniqueName="3" name="No" queryTableFieldId="3"/>
    <tableColumn id="4" xr3:uid="{70F5E3EF-9942-4AD1-8ECA-A71436EBDBD1}" uniqueName="4" name="Driver" queryTableFieldId="4" dataDxfId="13"/>
    <tableColumn id="5" xr3:uid="{3663AE09-002B-4986-BD10-0E8B41A931CC}" uniqueName="5" name="Team" queryTableFieldId="5" dataDxfId="12"/>
    <tableColumn id="6" xr3:uid="{8EB3590B-BCC4-4D48-90F3-1067399C2452}" uniqueName="6" name="Starting Grid" queryTableFieldId="6"/>
    <tableColumn id="7" xr3:uid="{6276D35F-2ECD-43E0-8995-48C38F80516C}" uniqueName="7" name="Laps" queryTableFieldId="7"/>
    <tableColumn id="8" xr3:uid="{2DFBC666-2EFF-4387-B815-44752A47A65D}" uniqueName="8" name="Time/Retired" queryTableFieldId="8" dataDxfId="11"/>
    <tableColumn id="9" xr3:uid="{48AF1160-4B6B-49C0-B8A7-F394374CA754}" uniqueName="9" name="Points" queryTableFieldId="9"/>
    <tableColumn id="10" xr3:uid="{58AE74E1-CFFA-4B8C-9C80-45C41E139594}" uniqueName="10" name="Set Fastest Lap" queryTableFieldId="10" dataDxfId="10"/>
    <tableColumn id="11" xr3:uid="{27C31587-580C-4FDA-B48D-F6EC90D4CE52}" uniqueName="11" name="Fastest Lap Time" queryTableFieldId="11" dataDxfId="9"/>
    <tableColumn id="13" xr3:uid="{C3AB859F-54D0-406C-B017-DF7220217C4D}" uniqueName="13" name="Winner" queryTableFieldId="13" dataDxfId="8">
      <calculatedColumnFormula>IFERROR(IF(VALUE(tblRace2024[[#This Row],[Position]])=1,"Yes","No"),"No")</calculatedColumnFormula>
    </tableColumn>
    <tableColumn id="12" xr3:uid="{609CDEDB-A3F9-41B8-B616-D2AAFAE2712F}" uniqueName="12" name="Season" queryTableFieldId="12" dataDxf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C4D6C6-6F32-4D30-B68B-52CE1718E707}" name="tblQuali2024" displayName="tblQuali2024" ref="A1:I479" tableType="queryTable" totalsRowShown="0">
  <autoFilter ref="A1:I479" xr:uid="{4FC4D6C6-6F32-4D30-B68B-52CE1718E707}"/>
  <tableColumns count="9">
    <tableColumn id="1" xr3:uid="{7B874E9B-8EEA-4BB6-8788-6A9B6C0413D1}" uniqueName="1" name="Track" queryTableFieldId="1" dataDxfId="6"/>
    <tableColumn id="2" xr3:uid="{8BC52F24-252F-45E2-A73B-3BE73E1F71D3}" uniqueName="2" name="Position" queryTableFieldId="2" dataDxfId="5"/>
    <tableColumn id="3" xr3:uid="{0CCF2506-B596-4358-AB59-8E494D02BF90}" uniqueName="3" name="No" queryTableFieldId="3"/>
    <tableColumn id="4" xr3:uid="{BFF180ED-A66B-46A6-9F21-59D9B3B75A3A}" uniqueName="4" name="Driver" queryTableFieldId="4" dataDxfId="4"/>
    <tableColumn id="5" xr3:uid="{39F4525B-90C8-480B-B1A0-B2A5A86C25AC}" uniqueName="5" name="Team" queryTableFieldId="5" dataDxfId="3"/>
    <tableColumn id="6" xr3:uid="{EA58677C-327B-4075-85EC-4EEDD4D25359}" uniqueName="6" name="Q1" queryTableFieldId="6" dataDxfId="2"/>
    <tableColumn id="7" xr3:uid="{6C3B8F6A-E816-4374-922C-839670112EAB}" uniqueName="7" name="Q2" queryTableFieldId="7" dataDxfId="1"/>
    <tableColumn id="8" xr3:uid="{00DB17F9-D7F3-4347-8CD0-EC257011935F}" uniqueName="8" name="Q3" queryTableFieldId="8" dataDxfId="0"/>
    <tableColumn id="9" xr3:uid="{AA273F51-CB2B-4B29-85D1-E05C73BE6CF8}" uniqueName="9" name="Lap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rgbClr val="000000"/>
      </a:dk1>
      <a:lt1>
        <a:srgbClr val="000000"/>
      </a:lt1>
      <a:dk2>
        <a:srgbClr val="44546A"/>
      </a:dk2>
      <a:lt2>
        <a:srgbClr val="000000"/>
      </a:lt2>
      <a:accent1>
        <a:srgbClr val="C00000"/>
      </a:accent1>
      <a:accent2>
        <a:srgbClr val="C00000"/>
      </a:accent2>
      <a:accent3>
        <a:srgbClr val="C00000"/>
      </a:accent3>
      <a:accent4>
        <a:srgbClr val="C00000"/>
      </a:accent4>
      <a:accent5>
        <a:srgbClr val="C00000"/>
      </a:accent5>
      <a:accent6>
        <a:srgbClr val="C00000"/>
      </a:accent6>
      <a:hlink>
        <a:srgbClr val="C00000"/>
      </a:hlink>
      <a:folHlink>
        <a:srgbClr val="C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B63F-0F54-4BE7-A168-633D997ED788}">
  <dimension ref="D2:AD5"/>
  <sheetViews>
    <sheetView showGridLines="0" showRowColHeaders="0" tabSelected="1" zoomScale="48" zoomScaleNormal="68" workbookViewId="0">
      <selection activeCell="AD27" sqref="AD27"/>
    </sheetView>
  </sheetViews>
  <sheetFormatPr defaultRowHeight="14.25" x14ac:dyDescent="0.45"/>
  <cols>
    <col min="1" max="29" width="9.06640625" style="11"/>
    <col min="30" max="30" width="11" style="11" bestFit="1" customWidth="1"/>
    <col min="31" max="16384" width="9.06640625" style="11"/>
  </cols>
  <sheetData>
    <row r="2" spans="4:30" ht="26.25" x14ac:dyDescent="0.9">
      <c r="D2" s="12" t="s">
        <v>2751</v>
      </c>
      <c r="E2" s="12"/>
      <c r="F2" s="12"/>
      <c r="G2" s="12"/>
      <c r="H2" s="12"/>
      <c r="I2" s="12"/>
      <c r="J2" s="12"/>
      <c r="K2" s="12"/>
    </row>
    <row r="3" spans="4:30" ht="13.15" customHeight="1" x14ac:dyDescent="0.7">
      <c r="D3" s="13" t="s">
        <v>2752</v>
      </c>
      <c r="E3" s="13"/>
      <c r="F3" s="13"/>
      <c r="G3" s="13"/>
      <c r="H3" s="13"/>
      <c r="I3" s="13"/>
      <c r="J3" s="13"/>
      <c r="K3" s="13"/>
      <c r="AD3" s="11" t="str">
        <f>'Pivot Tables'!N2</f>
        <v>Oscar Piastri</v>
      </c>
    </row>
    <row r="5" spans="4:30" ht="14.65" customHeight="1" x14ac:dyDescent="0.45"/>
  </sheetData>
  <mergeCells count="2">
    <mergeCell ref="D2:K2"/>
    <mergeCell ref="D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133D-8A37-4536-98F0-197CB2693BC1}">
  <dimension ref="A1:N51"/>
  <sheetViews>
    <sheetView topLeftCell="E3" zoomScale="86" workbookViewId="0">
      <selection activeCell="Q13" sqref="Q13"/>
    </sheetView>
  </sheetViews>
  <sheetFormatPr defaultRowHeight="14.25" x14ac:dyDescent="0.45"/>
  <cols>
    <col min="1" max="1" width="14.53125" bestFit="1" customWidth="1"/>
    <col min="2" max="2" width="10.33203125" bestFit="1" customWidth="1"/>
    <col min="4" max="4" width="26.265625" bestFit="1" customWidth="1"/>
    <col min="5" max="5" width="15.59765625" bestFit="1" customWidth="1"/>
    <col min="6" max="6" width="4" customWidth="1"/>
    <col min="7" max="7" width="13.796875" bestFit="1" customWidth="1"/>
    <col min="8" max="8" width="13.73046875" bestFit="1" customWidth="1"/>
    <col min="9" max="9" width="4.53125" customWidth="1"/>
    <col min="10" max="10" width="12.33203125" bestFit="1" customWidth="1"/>
    <col min="11" max="11" width="10.1328125" bestFit="1" customWidth="1"/>
    <col min="12" max="12" width="18.1328125" bestFit="1" customWidth="1"/>
    <col min="13" max="13" width="18.265625" bestFit="1" customWidth="1"/>
  </cols>
  <sheetData>
    <row r="1" spans="1:14" x14ac:dyDescent="0.45">
      <c r="A1" s="2" t="s">
        <v>3</v>
      </c>
      <c r="B1" t="s">
        <v>2736</v>
      </c>
      <c r="D1" s="2" t="s">
        <v>2728</v>
      </c>
      <c r="E1" t="s">
        <v>16</v>
      </c>
      <c r="G1" s="2" t="s">
        <v>2729</v>
      </c>
      <c r="H1" t="s">
        <v>16</v>
      </c>
      <c r="J1" s="2" t="s">
        <v>2728</v>
      </c>
      <c r="K1" t="s">
        <v>16</v>
      </c>
      <c r="M1" t="s">
        <v>2753</v>
      </c>
      <c r="N1" t="s">
        <v>2754</v>
      </c>
    </row>
    <row r="2" spans="1:14" x14ac:dyDescent="0.45">
      <c r="A2" t="s">
        <v>53</v>
      </c>
      <c r="B2" s="15">
        <v>172</v>
      </c>
      <c r="M2" t="s">
        <v>2755</v>
      </c>
      <c r="N2" t="str">
        <f>A2</f>
        <v>Oscar Piastri</v>
      </c>
    </row>
    <row r="3" spans="1:14" x14ac:dyDescent="0.45">
      <c r="A3" t="s">
        <v>13</v>
      </c>
      <c r="B3" s="15">
        <v>167</v>
      </c>
      <c r="D3" s="2" t="s">
        <v>2734</v>
      </c>
      <c r="E3" t="s">
        <v>2738</v>
      </c>
      <c r="G3" s="2" t="s">
        <v>2734</v>
      </c>
      <c r="H3" t="s">
        <v>2740</v>
      </c>
      <c r="J3" s="2" t="s">
        <v>2734</v>
      </c>
      <c r="K3" t="s">
        <v>2749</v>
      </c>
      <c r="M3" t="s">
        <v>2736</v>
      </c>
      <c r="N3">
        <f>B2</f>
        <v>172</v>
      </c>
    </row>
    <row r="4" spans="1:14" x14ac:dyDescent="0.45">
      <c r="A4" t="s">
        <v>19</v>
      </c>
      <c r="B4" s="15">
        <v>131</v>
      </c>
      <c r="D4" s="3" t="s">
        <v>53</v>
      </c>
      <c r="E4" s="15">
        <v>5</v>
      </c>
      <c r="G4" s="3" t="s">
        <v>53</v>
      </c>
      <c r="H4" s="15">
        <v>8</v>
      </c>
      <c r="J4" s="3" t="s">
        <v>2</v>
      </c>
      <c r="K4" s="15">
        <v>3</v>
      </c>
      <c r="M4" t="s">
        <v>2756</v>
      </c>
      <c r="N4">
        <f>COUNTA(A2:A22)</f>
        <v>21</v>
      </c>
    </row>
    <row r="5" spans="1:14" x14ac:dyDescent="0.45">
      <c r="A5" t="s">
        <v>24</v>
      </c>
      <c r="B5" s="15">
        <v>101</v>
      </c>
      <c r="D5" s="3" t="s">
        <v>13</v>
      </c>
      <c r="E5" s="15">
        <v>2</v>
      </c>
      <c r="G5" s="3" t="s">
        <v>13</v>
      </c>
      <c r="H5" s="15">
        <v>8</v>
      </c>
      <c r="J5" s="3" t="s">
        <v>16</v>
      </c>
      <c r="K5" s="15">
        <v>6</v>
      </c>
      <c r="M5" t="s">
        <v>2757</v>
      </c>
      <c r="N5">
        <f>COUNTA(D13:D23)</f>
        <v>11</v>
      </c>
    </row>
    <row r="6" spans="1:14" x14ac:dyDescent="0.45">
      <c r="A6" t="s">
        <v>48</v>
      </c>
      <c r="B6" s="15">
        <v>90</v>
      </c>
      <c r="D6" s="3" t="s">
        <v>19</v>
      </c>
      <c r="E6" s="15">
        <v>2</v>
      </c>
      <c r="G6" s="3" t="s">
        <v>24</v>
      </c>
      <c r="H6" s="15">
        <v>4</v>
      </c>
      <c r="J6" s="3" t="s">
        <v>2735</v>
      </c>
      <c r="K6" s="15">
        <v>9</v>
      </c>
      <c r="M6" t="s">
        <v>2758</v>
      </c>
      <c r="N6">
        <f>E7</f>
        <v>9</v>
      </c>
    </row>
    <row r="7" spans="1:14" x14ac:dyDescent="0.45">
      <c r="A7" t="s">
        <v>57</v>
      </c>
      <c r="B7" s="15">
        <v>57</v>
      </c>
      <c r="D7" s="3" t="s">
        <v>2735</v>
      </c>
      <c r="E7" s="15">
        <v>9</v>
      </c>
      <c r="G7" s="3" t="s">
        <v>19</v>
      </c>
      <c r="H7" s="15">
        <v>4</v>
      </c>
      <c r="M7" t="s">
        <v>2759</v>
      </c>
      <c r="N7" s="10">
        <f>K5/K6</f>
        <v>0.66666666666666663</v>
      </c>
    </row>
    <row r="8" spans="1:14" x14ac:dyDescent="0.45">
      <c r="A8" t="s">
        <v>29</v>
      </c>
      <c r="B8" s="15">
        <v>44</v>
      </c>
      <c r="G8" s="3" t="s">
        <v>48</v>
      </c>
      <c r="H8" s="15">
        <v>3</v>
      </c>
      <c r="J8" s="14" t="s">
        <v>2750</v>
      </c>
      <c r="K8" s="14"/>
    </row>
    <row r="9" spans="1:14" x14ac:dyDescent="0.45">
      <c r="A9" t="s">
        <v>33</v>
      </c>
      <c r="B9" s="15">
        <v>42</v>
      </c>
      <c r="D9" s="14" t="s">
        <v>2739</v>
      </c>
      <c r="E9" s="14"/>
      <c r="G9" s="3" t="s">
        <v>2735</v>
      </c>
      <c r="H9" s="15">
        <v>27</v>
      </c>
    </row>
    <row r="10" spans="1:14" x14ac:dyDescent="0.45">
      <c r="A10" t="s">
        <v>90</v>
      </c>
      <c r="B10" s="15">
        <v>21</v>
      </c>
    </row>
    <row r="11" spans="1:14" x14ac:dyDescent="0.45">
      <c r="A11" t="s">
        <v>71</v>
      </c>
      <c r="B11" s="15">
        <v>20</v>
      </c>
      <c r="G11" s="14" t="s">
        <v>2741</v>
      </c>
      <c r="H11" s="14"/>
      <c r="J11" s="2" t="s">
        <v>2734</v>
      </c>
      <c r="K11" t="s">
        <v>2747</v>
      </c>
    </row>
    <row r="12" spans="1:14" x14ac:dyDescent="0.45">
      <c r="A12" t="s">
        <v>43</v>
      </c>
      <c r="B12" s="15">
        <v>16</v>
      </c>
      <c r="J12" s="3">
        <v>2024</v>
      </c>
      <c r="K12" s="15">
        <v>1019</v>
      </c>
    </row>
    <row r="13" spans="1:14" x14ac:dyDescent="0.45">
      <c r="A13" t="s">
        <v>87</v>
      </c>
      <c r="B13" s="15">
        <v>12</v>
      </c>
      <c r="D13" s="2" t="s">
        <v>2734</v>
      </c>
      <c r="E13" t="s">
        <v>2742</v>
      </c>
      <c r="G13" s="2" t="s">
        <v>2734</v>
      </c>
      <c r="H13" t="s">
        <v>2745</v>
      </c>
      <c r="J13" s="3">
        <v>2025</v>
      </c>
      <c r="K13" s="15">
        <v>909</v>
      </c>
    </row>
    <row r="14" spans="1:14" x14ac:dyDescent="0.45">
      <c r="A14" t="s">
        <v>61</v>
      </c>
      <c r="B14" s="15">
        <v>10</v>
      </c>
      <c r="D14" s="3" t="s">
        <v>14</v>
      </c>
      <c r="E14" s="15">
        <v>339</v>
      </c>
      <c r="G14" s="3" t="s">
        <v>14</v>
      </c>
      <c r="H14" s="15">
        <v>2.3333333333333335</v>
      </c>
      <c r="J14" s="3" t="s">
        <v>2735</v>
      </c>
      <c r="K14" s="15">
        <v>1928</v>
      </c>
    </row>
    <row r="15" spans="1:14" x14ac:dyDescent="0.45">
      <c r="A15" t="s">
        <v>38</v>
      </c>
      <c r="B15" s="15">
        <v>10</v>
      </c>
      <c r="D15" s="3" t="s">
        <v>49</v>
      </c>
      <c r="E15" s="15">
        <v>147</v>
      </c>
      <c r="G15" s="3" t="s">
        <v>49</v>
      </c>
      <c r="H15" s="15">
        <v>5.5625</v>
      </c>
    </row>
    <row r="16" spans="1:14" x14ac:dyDescent="0.45">
      <c r="A16" t="s">
        <v>76</v>
      </c>
      <c r="B16" s="15">
        <v>6</v>
      </c>
      <c r="D16" s="3" t="s">
        <v>25</v>
      </c>
      <c r="E16" s="15">
        <v>145</v>
      </c>
      <c r="G16" s="3" t="s">
        <v>25</v>
      </c>
      <c r="H16" s="15">
        <v>6.25</v>
      </c>
      <c r="J16" s="14" t="s">
        <v>2748</v>
      </c>
      <c r="K16" s="14"/>
    </row>
    <row r="17" spans="1:8" x14ac:dyDescent="0.45">
      <c r="A17" t="s">
        <v>66</v>
      </c>
      <c r="B17" s="15">
        <v>4</v>
      </c>
      <c r="D17" s="3" t="s">
        <v>20</v>
      </c>
      <c r="E17" s="15">
        <v>135</v>
      </c>
      <c r="G17" s="3" t="s">
        <v>20</v>
      </c>
      <c r="H17" s="15">
        <v>7.3125</v>
      </c>
    </row>
    <row r="18" spans="1:8" x14ac:dyDescent="0.45">
      <c r="A18" t="s">
        <v>80</v>
      </c>
      <c r="B18" s="15">
        <v>4</v>
      </c>
      <c r="D18" s="3" t="s">
        <v>34</v>
      </c>
      <c r="E18" s="15">
        <v>54</v>
      </c>
      <c r="G18" s="3" t="s">
        <v>34</v>
      </c>
      <c r="H18" s="15">
        <v>8.9333333333333336</v>
      </c>
    </row>
    <row r="19" spans="1:8" x14ac:dyDescent="0.45">
      <c r="A19" t="s">
        <v>85</v>
      </c>
      <c r="B19" s="15">
        <v>2</v>
      </c>
      <c r="D19" s="3" t="s">
        <v>72</v>
      </c>
      <c r="E19" s="15">
        <v>26</v>
      </c>
      <c r="G19" s="3" t="s">
        <v>67</v>
      </c>
      <c r="H19" s="15">
        <v>11.3125</v>
      </c>
    </row>
    <row r="20" spans="1:8" x14ac:dyDescent="0.45">
      <c r="A20" t="s">
        <v>83</v>
      </c>
      <c r="B20" s="15">
        <v>0</v>
      </c>
      <c r="D20" s="3" t="s">
        <v>67</v>
      </c>
      <c r="E20" s="15">
        <v>25</v>
      </c>
      <c r="G20" s="3" t="s">
        <v>72</v>
      </c>
      <c r="H20" s="15">
        <v>12.125</v>
      </c>
    </row>
    <row r="21" spans="1:8" x14ac:dyDescent="0.45">
      <c r="A21" t="s">
        <v>308</v>
      </c>
      <c r="B21" s="15">
        <v>0</v>
      </c>
      <c r="D21" s="3" t="s">
        <v>44</v>
      </c>
      <c r="E21" s="15">
        <v>16</v>
      </c>
      <c r="G21" s="3" t="s">
        <v>62</v>
      </c>
      <c r="H21" s="15">
        <v>12.923076923076923</v>
      </c>
    </row>
    <row r="22" spans="1:8" x14ac:dyDescent="0.45">
      <c r="A22" t="s">
        <v>89</v>
      </c>
      <c r="B22" s="15">
        <v>0</v>
      </c>
      <c r="D22" s="3" t="s">
        <v>39</v>
      </c>
      <c r="E22" s="15">
        <v>12</v>
      </c>
      <c r="G22" s="3" t="s">
        <v>39</v>
      </c>
      <c r="H22" s="15">
        <v>13.285714285714286</v>
      </c>
    </row>
    <row r="23" spans="1:8" x14ac:dyDescent="0.45">
      <c r="A23" t="s">
        <v>2735</v>
      </c>
      <c r="B23" s="15">
        <v>909</v>
      </c>
      <c r="D23" s="3" t="s">
        <v>62</v>
      </c>
      <c r="E23" s="15">
        <v>10</v>
      </c>
      <c r="G23" s="3" t="s">
        <v>44</v>
      </c>
      <c r="H23" s="15">
        <v>14.2</v>
      </c>
    </row>
    <row r="24" spans="1:8" x14ac:dyDescent="0.45">
      <c r="D24" s="3" t="s">
        <v>2735</v>
      </c>
      <c r="E24" s="15">
        <v>909</v>
      </c>
      <c r="G24" s="3" t="s">
        <v>2735</v>
      </c>
      <c r="H24" s="15">
        <v>9.1870967741935488</v>
      </c>
    </row>
    <row r="25" spans="1:8" x14ac:dyDescent="0.45">
      <c r="A25" s="14" t="s">
        <v>2737</v>
      </c>
      <c r="B25" s="14"/>
    </row>
    <row r="26" spans="1:8" x14ac:dyDescent="0.45">
      <c r="D26" s="14" t="s">
        <v>2743</v>
      </c>
      <c r="E26" s="14"/>
      <c r="G26" s="14" t="s">
        <v>2746</v>
      </c>
      <c r="H26" s="14"/>
    </row>
    <row r="29" spans="1:8" x14ac:dyDescent="0.45">
      <c r="A29" s="2" t="s">
        <v>2734</v>
      </c>
      <c r="B29" t="s">
        <v>2747</v>
      </c>
    </row>
    <row r="30" spans="1:8" x14ac:dyDescent="0.45">
      <c r="A30" s="3" t="s">
        <v>53</v>
      </c>
      <c r="B30" s="15">
        <v>172</v>
      </c>
    </row>
    <row r="31" spans="1:8" x14ac:dyDescent="0.45">
      <c r="A31" s="3" t="s">
        <v>13</v>
      </c>
      <c r="B31" s="15">
        <v>167</v>
      </c>
    </row>
    <row r="32" spans="1:8" x14ac:dyDescent="0.45">
      <c r="A32" s="3" t="s">
        <v>19</v>
      </c>
      <c r="B32" s="15">
        <v>131</v>
      </c>
    </row>
    <row r="33" spans="1:2" x14ac:dyDescent="0.45">
      <c r="A33" s="3" t="s">
        <v>24</v>
      </c>
      <c r="B33" s="15">
        <v>101</v>
      </c>
    </row>
    <row r="34" spans="1:2" x14ac:dyDescent="0.45">
      <c r="A34" s="3" t="s">
        <v>48</v>
      </c>
      <c r="B34" s="15">
        <v>90</v>
      </c>
    </row>
    <row r="35" spans="1:2" x14ac:dyDescent="0.45">
      <c r="A35" s="3" t="s">
        <v>57</v>
      </c>
      <c r="B35" s="15">
        <v>57</v>
      </c>
    </row>
    <row r="36" spans="1:2" x14ac:dyDescent="0.45">
      <c r="A36" s="3" t="s">
        <v>29</v>
      </c>
      <c r="B36" s="15">
        <v>44</v>
      </c>
    </row>
    <row r="37" spans="1:2" x14ac:dyDescent="0.45">
      <c r="A37" s="3" t="s">
        <v>33</v>
      </c>
      <c r="B37" s="15">
        <v>42</v>
      </c>
    </row>
    <row r="38" spans="1:2" x14ac:dyDescent="0.45">
      <c r="A38" s="3" t="s">
        <v>90</v>
      </c>
      <c r="B38" s="15">
        <v>21</v>
      </c>
    </row>
    <row r="39" spans="1:2" x14ac:dyDescent="0.45">
      <c r="A39" s="3" t="s">
        <v>71</v>
      </c>
      <c r="B39" s="15">
        <v>20</v>
      </c>
    </row>
    <row r="40" spans="1:2" x14ac:dyDescent="0.45">
      <c r="A40" s="3" t="s">
        <v>43</v>
      </c>
      <c r="B40" s="15">
        <v>16</v>
      </c>
    </row>
    <row r="41" spans="1:2" x14ac:dyDescent="0.45">
      <c r="A41" s="3" t="s">
        <v>87</v>
      </c>
      <c r="B41" s="15">
        <v>12</v>
      </c>
    </row>
    <row r="42" spans="1:2" x14ac:dyDescent="0.45">
      <c r="A42" s="3" t="s">
        <v>61</v>
      </c>
      <c r="B42" s="15">
        <v>10</v>
      </c>
    </row>
    <row r="43" spans="1:2" x14ac:dyDescent="0.45">
      <c r="A43" s="3" t="s">
        <v>38</v>
      </c>
      <c r="B43" s="15">
        <v>10</v>
      </c>
    </row>
    <row r="44" spans="1:2" x14ac:dyDescent="0.45">
      <c r="A44" s="3" t="s">
        <v>76</v>
      </c>
      <c r="B44" s="15">
        <v>6</v>
      </c>
    </row>
    <row r="45" spans="1:2" x14ac:dyDescent="0.45">
      <c r="A45" s="3" t="s">
        <v>66</v>
      </c>
      <c r="B45" s="15">
        <v>4</v>
      </c>
    </row>
    <row r="46" spans="1:2" x14ac:dyDescent="0.45">
      <c r="A46" s="3" t="s">
        <v>80</v>
      </c>
      <c r="B46" s="15">
        <v>4</v>
      </c>
    </row>
    <row r="47" spans="1:2" x14ac:dyDescent="0.45">
      <c r="A47" s="3" t="s">
        <v>85</v>
      </c>
      <c r="B47" s="15">
        <v>2</v>
      </c>
    </row>
    <row r="48" spans="1:2" x14ac:dyDescent="0.45">
      <c r="A48" s="3" t="s">
        <v>83</v>
      </c>
      <c r="B48" s="15">
        <v>0</v>
      </c>
    </row>
    <row r="49" spans="1:2" x14ac:dyDescent="0.45">
      <c r="A49" s="3" t="s">
        <v>308</v>
      </c>
      <c r="B49" s="15">
        <v>0</v>
      </c>
    </row>
    <row r="50" spans="1:2" x14ac:dyDescent="0.45">
      <c r="A50" s="3" t="s">
        <v>89</v>
      </c>
      <c r="B50" s="15">
        <v>0</v>
      </c>
    </row>
    <row r="51" spans="1:2" x14ac:dyDescent="0.45">
      <c r="A51" s="3" t="s">
        <v>2735</v>
      </c>
      <c r="B51" s="15">
        <v>909</v>
      </c>
    </row>
  </sheetData>
  <mergeCells count="7">
    <mergeCell ref="D26:E26"/>
    <mergeCell ref="G26:H26"/>
    <mergeCell ref="J8:K8"/>
    <mergeCell ref="J16:K16"/>
    <mergeCell ref="A25:B25"/>
    <mergeCell ref="D9:E9"/>
    <mergeCell ref="G11:H11"/>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0F1C-1341-48F4-99F1-95D2E04D70C2}">
  <dimension ref="A1:E379"/>
  <sheetViews>
    <sheetView workbookViewId="0">
      <selection activeCell="C362" sqref="C362"/>
    </sheetView>
  </sheetViews>
  <sheetFormatPr defaultRowHeight="14.25" x14ac:dyDescent="0.45"/>
  <cols>
    <col min="1" max="1" width="8.3984375" customWidth="1"/>
    <col min="2" max="2" width="14.3984375" bestFit="1" customWidth="1"/>
    <col min="3" max="3" width="26.06640625" bestFit="1" customWidth="1"/>
    <col min="4" max="4" width="7.6640625" customWidth="1"/>
    <col min="5" max="5" width="8.59765625" customWidth="1"/>
  </cols>
  <sheetData>
    <row r="1" spans="1:5" x14ac:dyDescent="0.45">
      <c r="A1" s="9" t="s">
        <v>2733</v>
      </c>
      <c r="B1" s="9" t="s">
        <v>3</v>
      </c>
      <c r="C1" s="9" t="s">
        <v>4</v>
      </c>
      <c r="D1" s="9" t="s">
        <v>8</v>
      </c>
      <c r="E1" s="9" t="s">
        <v>2728</v>
      </c>
    </row>
    <row r="2" spans="1:5" x14ac:dyDescent="0.45">
      <c r="A2" s="4">
        <v>2025</v>
      </c>
      <c r="B2" s="6" t="s">
        <v>13</v>
      </c>
      <c r="C2" s="4" t="s">
        <v>14</v>
      </c>
      <c r="D2" s="4">
        <v>25</v>
      </c>
      <c r="E2" s="4" t="str">
        <f>IFERROR(IF(VALUE(tblRace2025[[#This Row],[Position]])=1,"Yes","No"),"No")</f>
        <v>Yes</v>
      </c>
    </row>
    <row r="3" spans="1:5" x14ac:dyDescent="0.45">
      <c r="A3" s="8">
        <v>2025</v>
      </c>
      <c r="B3" s="7" t="s">
        <v>19</v>
      </c>
      <c r="C3" s="8" t="s">
        <v>20</v>
      </c>
      <c r="D3" s="8">
        <v>18</v>
      </c>
      <c r="E3" s="8" t="str">
        <f>IFERROR(IF(VALUE(tblRace2025[[#This Row],[Position]])=1,"Yes","No"),"No")</f>
        <v>No</v>
      </c>
    </row>
    <row r="4" spans="1:5" x14ac:dyDescent="0.45">
      <c r="A4" s="4">
        <v>2025</v>
      </c>
      <c r="B4" s="6" t="s">
        <v>24</v>
      </c>
      <c r="C4" s="4" t="s">
        <v>25</v>
      </c>
      <c r="D4" s="4">
        <v>15</v>
      </c>
      <c r="E4" s="4" t="str">
        <f>IFERROR(IF(VALUE(tblRace2025[[#This Row],[Position]])=1,"Yes","No"),"No")</f>
        <v>No</v>
      </c>
    </row>
    <row r="5" spans="1:5" x14ac:dyDescent="0.45">
      <c r="A5" s="8">
        <v>2025</v>
      </c>
      <c r="B5" s="7" t="s">
        <v>29</v>
      </c>
      <c r="C5" s="8" t="s">
        <v>25</v>
      </c>
      <c r="D5" s="8">
        <v>12</v>
      </c>
      <c r="E5" s="8" t="str">
        <f>IFERROR(IF(VALUE(tblRace2025[[#This Row],[Position]])=1,"Yes","No"),"No")</f>
        <v>No</v>
      </c>
    </row>
    <row r="6" spans="1:5" x14ac:dyDescent="0.45">
      <c r="A6" s="4">
        <v>2025</v>
      </c>
      <c r="B6" s="6" t="s">
        <v>33</v>
      </c>
      <c r="C6" s="4" t="s">
        <v>34</v>
      </c>
      <c r="D6" s="4">
        <v>10</v>
      </c>
      <c r="E6" s="4" t="str">
        <f>IFERROR(IF(VALUE(tblRace2025[[#This Row],[Position]])=1,"Yes","No"),"No")</f>
        <v>No</v>
      </c>
    </row>
    <row r="7" spans="1:5" x14ac:dyDescent="0.45">
      <c r="A7" s="8">
        <v>2025</v>
      </c>
      <c r="B7" s="7" t="s">
        <v>38</v>
      </c>
      <c r="C7" s="8" t="s">
        <v>39</v>
      </c>
      <c r="D7" s="8">
        <v>8</v>
      </c>
      <c r="E7" s="8" t="str">
        <f>IFERROR(IF(VALUE(tblRace2025[[#This Row],[Position]])=1,"Yes","No"),"No")</f>
        <v>No</v>
      </c>
    </row>
    <row r="8" spans="1:5" x14ac:dyDescent="0.45">
      <c r="A8" s="4">
        <v>2025</v>
      </c>
      <c r="B8" s="6" t="s">
        <v>43</v>
      </c>
      <c r="C8" s="4" t="s">
        <v>44</v>
      </c>
      <c r="D8" s="4">
        <v>6</v>
      </c>
      <c r="E8" s="4" t="str">
        <f>IFERROR(IF(VALUE(tblRace2025[[#This Row],[Position]])=1,"Yes","No"),"No")</f>
        <v>No</v>
      </c>
    </row>
    <row r="9" spans="1:5" x14ac:dyDescent="0.45">
      <c r="A9" s="8">
        <v>2025</v>
      </c>
      <c r="B9" s="7" t="s">
        <v>48</v>
      </c>
      <c r="C9" s="8" t="s">
        <v>49</v>
      </c>
      <c r="D9" s="8">
        <v>4</v>
      </c>
      <c r="E9" s="8" t="str">
        <f>IFERROR(IF(VALUE(tblRace2025[[#This Row],[Position]])=1,"Yes","No"),"No")</f>
        <v>No</v>
      </c>
    </row>
    <row r="10" spans="1:5" x14ac:dyDescent="0.45">
      <c r="A10" s="4">
        <v>2025</v>
      </c>
      <c r="B10" s="6" t="s">
        <v>53</v>
      </c>
      <c r="C10" s="4" t="s">
        <v>14</v>
      </c>
      <c r="D10" s="4">
        <v>2</v>
      </c>
      <c r="E10" s="4" t="str">
        <f>IFERROR(IF(VALUE(tblRace2025[[#This Row],[Position]])=1,"Yes","No"),"No")</f>
        <v>No</v>
      </c>
    </row>
    <row r="11" spans="1:5" x14ac:dyDescent="0.45">
      <c r="A11" s="8">
        <v>2025</v>
      </c>
      <c r="B11" s="7" t="s">
        <v>57</v>
      </c>
      <c r="C11" s="8" t="s">
        <v>49</v>
      </c>
      <c r="D11" s="8">
        <v>1</v>
      </c>
      <c r="E11" s="8" t="str">
        <f>IFERROR(IF(VALUE(tblRace2025[[#This Row],[Position]])=1,"Yes","No"),"No")</f>
        <v>No</v>
      </c>
    </row>
    <row r="12" spans="1:5" x14ac:dyDescent="0.45">
      <c r="A12" s="4">
        <v>2025</v>
      </c>
      <c r="B12" s="6" t="s">
        <v>61</v>
      </c>
      <c r="C12" s="4" t="s">
        <v>62</v>
      </c>
      <c r="D12" s="4">
        <v>0</v>
      </c>
      <c r="E12" s="4" t="str">
        <f>IFERROR(IF(VALUE(tblRace2025[[#This Row],[Position]])=1,"Yes","No"),"No")</f>
        <v>No</v>
      </c>
    </row>
    <row r="13" spans="1:5" x14ac:dyDescent="0.45">
      <c r="A13" s="8">
        <v>2025</v>
      </c>
      <c r="B13" s="7" t="s">
        <v>66</v>
      </c>
      <c r="C13" s="8" t="s">
        <v>67</v>
      </c>
      <c r="D13" s="8">
        <v>0</v>
      </c>
      <c r="E13" s="8" t="str">
        <f>IFERROR(IF(VALUE(tblRace2025[[#This Row],[Position]])=1,"Yes","No"),"No")</f>
        <v>No</v>
      </c>
    </row>
    <row r="14" spans="1:5" x14ac:dyDescent="0.45">
      <c r="A14" s="4">
        <v>2025</v>
      </c>
      <c r="B14" s="6" t="s">
        <v>71</v>
      </c>
      <c r="C14" s="4" t="s">
        <v>72</v>
      </c>
      <c r="D14" s="4">
        <v>0</v>
      </c>
      <c r="E14" s="4" t="str">
        <f>IFERROR(IF(VALUE(tblRace2025[[#This Row],[Position]])=1,"Yes","No"),"No")</f>
        <v>No</v>
      </c>
    </row>
    <row r="15" spans="1:5" x14ac:dyDescent="0.45">
      <c r="A15" s="8">
        <v>2025</v>
      </c>
      <c r="B15" s="7" t="s">
        <v>76</v>
      </c>
      <c r="C15" s="8" t="s">
        <v>72</v>
      </c>
      <c r="D15" s="8">
        <v>0</v>
      </c>
      <c r="E15" s="8" t="str">
        <f>IFERROR(IF(VALUE(tblRace2025[[#This Row],[Position]])=1,"Yes","No"),"No")</f>
        <v>No</v>
      </c>
    </row>
    <row r="16" spans="1:5" x14ac:dyDescent="0.45">
      <c r="A16" s="4">
        <v>2025</v>
      </c>
      <c r="B16" s="6" t="s">
        <v>80</v>
      </c>
      <c r="C16" s="4" t="s">
        <v>20</v>
      </c>
      <c r="D16" s="4">
        <v>0</v>
      </c>
      <c r="E16" s="4" t="str">
        <f>IFERROR(IF(VALUE(tblRace2025[[#This Row],[Position]])=1,"Yes","No"),"No")</f>
        <v>No</v>
      </c>
    </row>
    <row r="17" spans="1:5" x14ac:dyDescent="0.45">
      <c r="A17" s="8">
        <v>2025</v>
      </c>
      <c r="B17" s="7" t="s">
        <v>83</v>
      </c>
      <c r="C17" s="8" t="s">
        <v>44</v>
      </c>
      <c r="D17" s="8">
        <v>0</v>
      </c>
      <c r="E17" s="8" t="str">
        <f>IFERROR(IF(VALUE(tblRace2025[[#This Row],[Position]])=1,"Yes","No"),"No")</f>
        <v>No</v>
      </c>
    </row>
    <row r="18" spans="1:5" x14ac:dyDescent="0.45">
      <c r="A18" s="4">
        <v>2025</v>
      </c>
      <c r="B18" s="6" t="s">
        <v>85</v>
      </c>
      <c r="C18" s="4" t="s">
        <v>39</v>
      </c>
      <c r="D18" s="4">
        <v>0</v>
      </c>
      <c r="E18" s="4" t="str">
        <f>IFERROR(IF(VALUE(tblRace2025[[#This Row],[Position]])=1,"Yes","No"),"No")</f>
        <v>No</v>
      </c>
    </row>
    <row r="19" spans="1:5" x14ac:dyDescent="0.45">
      <c r="A19" s="8">
        <v>2025</v>
      </c>
      <c r="B19" s="7" t="s">
        <v>87</v>
      </c>
      <c r="C19" s="8" t="s">
        <v>34</v>
      </c>
      <c r="D19" s="8">
        <v>0</v>
      </c>
      <c r="E19" s="8" t="str">
        <f>IFERROR(IF(VALUE(tblRace2025[[#This Row],[Position]])=1,"Yes","No"),"No")</f>
        <v>No</v>
      </c>
    </row>
    <row r="20" spans="1:5" x14ac:dyDescent="0.45">
      <c r="A20" s="4">
        <v>2025</v>
      </c>
      <c r="B20" s="6" t="s">
        <v>89</v>
      </c>
      <c r="C20" s="4" t="s">
        <v>62</v>
      </c>
      <c r="D20" s="4">
        <v>0</v>
      </c>
      <c r="E20" s="4" t="str">
        <f>IFERROR(IF(VALUE(tblRace2025[[#This Row],[Position]])=1,"Yes","No"),"No")</f>
        <v>No</v>
      </c>
    </row>
    <row r="21" spans="1:5" x14ac:dyDescent="0.45">
      <c r="A21" s="8">
        <v>2025</v>
      </c>
      <c r="B21" s="7" t="s">
        <v>90</v>
      </c>
      <c r="C21" s="8" t="s">
        <v>67</v>
      </c>
      <c r="D21" s="8">
        <v>0</v>
      </c>
      <c r="E21" s="8" t="str">
        <f>IFERROR(IF(VALUE(tblRace2025[[#This Row],[Position]])=1,"Yes","No"),"No")</f>
        <v>No</v>
      </c>
    </row>
    <row r="22" spans="1:5" x14ac:dyDescent="0.45">
      <c r="A22" s="4">
        <v>2025</v>
      </c>
      <c r="B22" s="6" t="s">
        <v>53</v>
      </c>
      <c r="C22" s="4" t="s">
        <v>14</v>
      </c>
      <c r="D22" s="4">
        <v>25</v>
      </c>
      <c r="E22" s="4" t="str">
        <f>IFERROR(IF(VALUE(tblRace2025[[#This Row],[Position]])=1,"Yes","No"),"No")</f>
        <v>Yes</v>
      </c>
    </row>
    <row r="23" spans="1:5" x14ac:dyDescent="0.45">
      <c r="A23" s="8">
        <v>2025</v>
      </c>
      <c r="B23" s="7" t="s">
        <v>13</v>
      </c>
      <c r="C23" s="8" t="s">
        <v>14</v>
      </c>
      <c r="D23" s="8">
        <v>18</v>
      </c>
      <c r="E23" s="8" t="str">
        <f>IFERROR(IF(VALUE(tblRace2025[[#This Row],[Position]])=1,"Yes","No"),"No")</f>
        <v>No</v>
      </c>
    </row>
    <row r="24" spans="1:5" x14ac:dyDescent="0.45">
      <c r="A24" s="4">
        <v>2025</v>
      </c>
      <c r="B24" s="6" t="s">
        <v>24</v>
      </c>
      <c r="C24" s="4" t="s">
        <v>25</v>
      </c>
      <c r="D24" s="4">
        <v>15</v>
      </c>
      <c r="E24" s="4" t="str">
        <f>IFERROR(IF(VALUE(tblRace2025[[#This Row],[Position]])=1,"Yes","No"),"No")</f>
        <v>No</v>
      </c>
    </row>
    <row r="25" spans="1:5" x14ac:dyDescent="0.45">
      <c r="A25" s="8">
        <v>2025</v>
      </c>
      <c r="B25" s="7" t="s">
        <v>19</v>
      </c>
      <c r="C25" s="8" t="s">
        <v>20</v>
      </c>
      <c r="D25" s="8">
        <v>12</v>
      </c>
      <c r="E25" s="8" t="str">
        <f>IFERROR(IF(VALUE(tblRace2025[[#This Row],[Position]])=1,"Yes","No"),"No")</f>
        <v>No</v>
      </c>
    </row>
    <row r="26" spans="1:5" x14ac:dyDescent="0.45">
      <c r="A26" s="4">
        <v>2025</v>
      </c>
      <c r="B26" s="6" t="s">
        <v>71</v>
      </c>
      <c r="C26" s="4" t="s">
        <v>72</v>
      </c>
      <c r="D26" s="4">
        <v>10</v>
      </c>
      <c r="E26" s="4" t="str">
        <f>IFERROR(IF(VALUE(tblRace2025[[#This Row],[Position]])=1,"Yes","No"),"No")</f>
        <v>No</v>
      </c>
    </row>
    <row r="27" spans="1:5" x14ac:dyDescent="0.45">
      <c r="A27" s="8">
        <v>2025</v>
      </c>
      <c r="B27" s="7" t="s">
        <v>29</v>
      </c>
      <c r="C27" s="8" t="s">
        <v>25</v>
      </c>
      <c r="D27" s="8">
        <v>8</v>
      </c>
      <c r="E27" s="8" t="str">
        <f>IFERROR(IF(VALUE(tblRace2025[[#This Row],[Position]])=1,"Yes","No"),"No")</f>
        <v>No</v>
      </c>
    </row>
    <row r="28" spans="1:5" x14ac:dyDescent="0.45">
      <c r="A28" s="4">
        <v>2025</v>
      </c>
      <c r="B28" s="6" t="s">
        <v>33</v>
      </c>
      <c r="C28" s="4" t="s">
        <v>34</v>
      </c>
      <c r="D28" s="4">
        <v>6</v>
      </c>
      <c r="E28" s="4" t="str">
        <f>IFERROR(IF(VALUE(tblRace2025[[#This Row],[Position]])=1,"Yes","No"),"No")</f>
        <v>No</v>
      </c>
    </row>
    <row r="29" spans="1:5" x14ac:dyDescent="0.45">
      <c r="A29" s="8">
        <v>2025</v>
      </c>
      <c r="B29" s="7" t="s">
        <v>76</v>
      </c>
      <c r="C29" s="8" t="s">
        <v>72</v>
      </c>
      <c r="D29" s="8">
        <v>4</v>
      </c>
      <c r="E29" s="8" t="str">
        <f>IFERROR(IF(VALUE(tblRace2025[[#This Row],[Position]])=1,"Yes","No"),"No")</f>
        <v>No</v>
      </c>
    </row>
    <row r="30" spans="1:5" x14ac:dyDescent="0.45">
      <c r="A30" s="4">
        <v>2025</v>
      </c>
      <c r="B30" s="6" t="s">
        <v>38</v>
      </c>
      <c r="C30" s="4" t="s">
        <v>39</v>
      </c>
      <c r="D30" s="4">
        <v>2</v>
      </c>
      <c r="E30" s="4" t="str">
        <f>IFERROR(IF(VALUE(tblRace2025[[#This Row],[Position]])=1,"Yes","No"),"No")</f>
        <v>No</v>
      </c>
    </row>
    <row r="31" spans="1:5" x14ac:dyDescent="0.45">
      <c r="A31" s="8">
        <v>2025</v>
      </c>
      <c r="B31" s="7" t="s">
        <v>87</v>
      </c>
      <c r="C31" s="8" t="s">
        <v>34</v>
      </c>
      <c r="D31" s="8">
        <v>1</v>
      </c>
      <c r="E31" s="8" t="str">
        <f>IFERROR(IF(VALUE(tblRace2025[[#This Row],[Position]])=1,"Yes","No"),"No")</f>
        <v>No</v>
      </c>
    </row>
    <row r="32" spans="1:5" x14ac:dyDescent="0.45">
      <c r="A32" s="4">
        <v>2025</v>
      </c>
      <c r="B32" s="6" t="s">
        <v>90</v>
      </c>
      <c r="C32" s="4" t="s">
        <v>67</v>
      </c>
      <c r="D32" s="4">
        <v>0</v>
      </c>
      <c r="E32" s="4" t="str">
        <f>IFERROR(IF(VALUE(tblRace2025[[#This Row],[Position]])=1,"Yes","No"),"No")</f>
        <v>No</v>
      </c>
    </row>
    <row r="33" spans="1:5" x14ac:dyDescent="0.45">
      <c r="A33" s="8">
        <v>2025</v>
      </c>
      <c r="B33" s="7" t="s">
        <v>80</v>
      </c>
      <c r="C33" s="8" t="s">
        <v>20</v>
      </c>
      <c r="D33" s="8">
        <v>0</v>
      </c>
      <c r="E33" s="8" t="str">
        <f>IFERROR(IF(VALUE(tblRace2025[[#This Row],[Position]])=1,"Yes","No"),"No")</f>
        <v>No</v>
      </c>
    </row>
    <row r="34" spans="1:5" x14ac:dyDescent="0.45">
      <c r="A34" s="4">
        <v>2025</v>
      </c>
      <c r="B34" s="6" t="s">
        <v>89</v>
      </c>
      <c r="C34" s="4" t="s">
        <v>62</v>
      </c>
      <c r="D34" s="4">
        <v>0</v>
      </c>
      <c r="E34" s="4" t="str">
        <f>IFERROR(IF(VALUE(tblRace2025[[#This Row],[Position]])=1,"Yes","No"),"No")</f>
        <v>No</v>
      </c>
    </row>
    <row r="35" spans="1:5" x14ac:dyDescent="0.45">
      <c r="A35" s="8">
        <v>2025</v>
      </c>
      <c r="B35" s="7" t="s">
        <v>83</v>
      </c>
      <c r="C35" s="8" t="s">
        <v>44</v>
      </c>
      <c r="D35" s="8">
        <v>0</v>
      </c>
      <c r="E35" s="8" t="str">
        <f>IFERROR(IF(VALUE(tblRace2025[[#This Row],[Position]])=1,"Yes","No"),"No")</f>
        <v>No</v>
      </c>
    </row>
    <row r="36" spans="1:5" x14ac:dyDescent="0.45">
      <c r="A36" s="4">
        <v>2025</v>
      </c>
      <c r="B36" s="6" t="s">
        <v>43</v>
      </c>
      <c r="C36" s="4" t="s">
        <v>44</v>
      </c>
      <c r="D36" s="4">
        <v>0</v>
      </c>
      <c r="E36" s="4" t="str">
        <f>IFERROR(IF(VALUE(tblRace2025[[#This Row],[Position]])=1,"Yes","No"),"No")</f>
        <v>No</v>
      </c>
    </row>
    <row r="37" spans="1:5" x14ac:dyDescent="0.45">
      <c r="A37" s="8">
        <v>2025</v>
      </c>
      <c r="B37" s="7" t="s">
        <v>66</v>
      </c>
      <c r="C37" s="8" t="s">
        <v>67</v>
      </c>
      <c r="D37" s="8">
        <v>0</v>
      </c>
      <c r="E37" s="8" t="str">
        <f>IFERROR(IF(VALUE(tblRace2025[[#This Row],[Position]])=1,"Yes","No"),"No")</f>
        <v>No</v>
      </c>
    </row>
    <row r="38" spans="1:5" x14ac:dyDescent="0.45">
      <c r="A38" s="4">
        <v>2025</v>
      </c>
      <c r="B38" s="6" t="s">
        <v>85</v>
      </c>
      <c r="C38" s="4" t="s">
        <v>39</v>
      </c>
      <c r="D38" s="4">
        <v>0</v>
      </c>
      <c r="E38" s="4" t="str">
        <f>IFERROR(IF(VALUE(tblRace2025[[#This Row],[Position]])=1,"Yes","No"),"No")</f>
        <v>No</v>
      </c>
    </row>
    <row r="39" spans="1:5" x14ac:dyDescent="0.45">
      <c r="A39" s="8">
        <v>2025</v>
      </c>
      <c r="B39" s="7" t="s">
        <v>48</v>
      </c>
      <c r="C39" s="8" t="s">
        <v>49</v>
      </c>
      <c r="D39" s="8">
        <v>0</v>
      </c>
      <c r="E39" s="8" t="str">
        <f>IFERROR(IF(VALUE(tblRace2025[[#This Row],[Position]])=1,"Yes","No"),"No")</f>
        <v>No</v>
      </c>
    </row>
    <row r="40" spans="1:5" x14ac:dyDescent="0.45">
      <c r="A40" s="4">
        <v>2025</v>
      </c>
      <c r="B40" s="6" t="s">
        <v>57</v>
      </c>
      <c r="C40" s="4" t="s">
        <v>49</v>
      </c>
      <c r="D40" s="4">
        <v>0</v>
      </c>
      <c r="E40" s="4" t="str">
        <f>IFERROR(IF(VALUE(tblRace2025[[#This Row],[Position]])=1,"Yes","No"),"No")</f>
        <v>No</v>
      </c>
    </row>
    <row r="41" spans="1:5" x14ac:dyDescent="0.45">
      <c r="A41" s="8">
        <v>2025</v>
      </c>
      <c r="B41" s="7" t="s">
        <v>61</v>
      </c>
      <c r="C41" s="8" t="s">
        <v>62</v>
      </c>
      <c r="D41" s="8">
        <v>0</v>
      </c>
      <c r="E41" s="8" t="str">
        <f>IFERROR(IF(VALUE(tblRace2025[[#This Row],[Position]])=1,"Yes","No"),"No")</f>
        <v>No</v>
      </c>
    </row>
    <row r="42" spans="1:5" x14ac:dyDescent="0.45">
      <c r="A42" s="4">
        <v>2025</v>
      </c>
      <c r="B42" s="6" t="s">
        <v>19</v>
      </c>
      <c r="C42" s="4" t="s">
        <v>20</v>
      </c>
      <c r="D42" s="4">
        <v>25</v>
      </c>
      <c r="E42" s="4" t="str">
        <f>IFERROR(IF(VALUE(tblRace2025[[#This Row],[Position]])=1,"Yes","No"),"No")</f>
        <v>Yes</v>
      </c>
    </row>
    <row r="43" spans="1:5" x14ac:dyDescent="0.45">
      <c r="A43" s="8">
        <v>2025</v>
      </c>
      <c r="B43" s="7" t="s">
        <v>13</v>
      </c>
      <c r="C43" s="8" t="s">
        <v>14</v>
      </c>
      <c r="D43" s="8">
        <v>18</v>
      </c>
      <c r="E43" s="8" t="str">
        <f>IFERROR(IF(VALUE(tblRace2025[[#This Row],[Position]])=1,"Yes","No"),"No")</f>
        <v>No</v>
      </c>
    </row>
    <row r="44" spans="1:5" x14ac:dyDescent="0.45">
      <c r="A44" s="4">
        <v>2025</v>
      </c>
      <c r="B44" s="6" t="s">
        <v>53</v>
      </c>
      <c r="C44" s="4" t="s">
        <v>14</v>
      </c>
      <c r="D44" s="4">
        <v>15</v>
      </c>
      <c r="E44" s="4" t="str">
        <f>IFERROR(IF(VALUE(tblRace2025[[#This Row],[Position]])=1,"Yes","No"),"No")</f>
        <v>No</v>
      </c>
    </row>
    <row r="45" spans="1:5" x14ac:dyDescent="0.45">
      <c r="A45" s="8">
        <v>2025</v>
      </c>
      <c r="B45" s="7" t="s">
        <v>48</v>
      </c>
      <c r="C45" s="8" t="s">
        <v>49</v>
      </c>
      <c r="D45" s="8">
        <v>12</v>
      </c>
      <c r="E45" s="8" t="str">
        <f>IFERROR(IF(VALUE(tblRace2025[[#This Row],[Position]])=1,"Yes","No"),"No")</f>
        <v>No</v>
      </c>
    </row>
    <row r="46" spans="1:5" x14ac:dyDescent="0.45">
      <c r="A46" s="4">
        <v>2025</v>
      </c>
      <c r="B46" s="6" t="s">
        <v>24</v>
      </c>
      <c r="C46" s="4" t="s">
        <v>25</v>
      </c>
      <c r="D46" s="4">
        <v>10</v>
      </c>
      <c r="E46" s="4" t="str">
        <f>IFERROR(IF(VALUE(tblRace2025[[#This Row],[Position]])=1,"Yes","No"),"No")</f>
        <v>No</v>
      </c>
    </row>
    <row r="47" spans="1:5" x14ac:dyDescent="0.45">
      <c r="A47" s="8">
        <v>2025</v>
      </c>
      <c r="B47" s="7" t="s">
        <v>29</v>
      </c>
      <c r="C47" s="8" t="s">
        <v>25</v>
      </c>
      <c r="D47" s="8">
        <v>8</v>
      </c>
      <c r="E47" s="8" t="str">
        <f>IFERROR(IF(VALUE(tblRace2025[[#This Row],[Position]])=1,"Yes","No"),"No")</f>
        <v>No</v>
      </c>
    </row>
    <row r="48" spans="1:5" x14ac:dyDescent="0.45">
      <c r="A48" s="4">
        <v>2025</v>
      </c>
      <c r="B48" s="6" t="s">
        <v>57</v>
      </c>
      <c r="C48" s="4" t="s">
        <v>49</v>
      </c>
      <c r="D48" s="4">
        <v>6</v>
      </c>
      <c r="E48" s="4" t="str">
        <f>IFERROR(IF(VALUE(tblRace2025[[#This Row],[Position]])=1,"Yes","No"),"No")</f>
        <v>No</v>
      </c>
    </row>
    <row r="49" spans="1:5" x14ac:dyDescent="0.45">
      <c r="A49" s="8">
        <v>2025</v>
      </c>
      <c r="B49" s="7" t="s">
        <v>90</v>
      </c>
      <c r="C49" s="8" t="s">
        <v>67</v>
      </c>
      <c r="D49" s="8">
        <v>4</v>
      </c>
      <c r="E49" s="8" t="str">
        <f>IFERROR(IF(VALUE(tblRace2025[[#This Row],[Position]])=1,"Yes","No"),"No")</f>
        <v>No</v>
      </c>
    </row>
    <row r="50" spans="1:5" x14ac:dyDescent="0.45">
      <c r="A50" s="4">
        <v>2025</v>
      </c>
      <c r="B50" s="6" t="s">
        <v>33</v>
      </c>
      <c r="C50" s="4" t="s">
        <v>34</v>
      </c>
      <c r="D50" s="4">
        <v>2</v>
      </c>
      <c r="E50" s="4" t="str">
        <f>IFERROR(IF(VALUE(tblRace2025[[#This Row],[Position]])=1,"Yes","No"),"No")</f>
        <v>No</v>
      </c>
    </row>
    <row r="51" spans="1:5" x14ac:dyDescent="0.45">
      <c r="A51" s="8">
        <v>2025</v>
      </c>
      <c r="B51" s="7" t="s">
        <v>76</v>
      </c>
      <c r="C51" s="8" t="s">
        <v>72</v>
      </c>
      <c r="D51" s="8">
        <v>1</v>
      </c>
      <c r="E51" s="8" t="str">
        <f>IFERROR(IF(VALUE(tblRace2025[[#This Row],[Position]])=1,"Yes","No"),"No")</f>
        <v>No</v>
      </c>
    </row>
    <row r="52" spans="1:5" x14ac:dyDescent="0.45">
      <c r="A52" s="4">
        <v>2025</v>
      </c>
      <c r="B52" s="6" t="s">
        <v>85</v>
      </c>
      <c r="C52" s="4" t="s">
        <v>39</v>
      </c>
      <c r="D52" s="4">
        <v>0</v>
      </c>
      <c r="E52" s="4" t="str">
        <f>IFERROR(IF(VALUE(tblRace2025[[#This Row],[Position]])=1,"Yes","No"),"No")</f>
        <v>No</v>
      </c>
    </row>
    <row r="53" spans="1:5" x14ac:dyDescent="0.45">
      <c r="A53" s="8">
        <v>2025</v>
      </c>
      <c r="B53" s="7" t="s">
        <v>66</v>
      </c>
      <c r="C53" s="8" t="s">
        <v>20</v>
      </c>
      <c r="D53" s="8">
        <v>0</v>
      </c>
      <c r="E53" s="8" t="str">
        <f>IFERROR(IF(VALUE(tblRace2025[[#This Row],[Position]])=1,"Yes","No"),"No")</f>
        <v>No</v>
      </c>
    </row>
    <row r="54" spans="1:5" x14ac:dyDescent="0.45">
      <c r="A54" s="4">
        <v>2025</v>
      </c>
      <c r="B54" s="6" t="s">
        <v>61</v>
      </c>
      <c r="C54" s="4" t="s">
        <v>62</v>
      </c>
      <c r="D54" s="4">
        <v>0</v>
      </c>
      <c r="E54" s="4" t="str">
        <f>IFERROR(IF(VALUE(tblRace2025[[#This Row],[Position]])=1,"Yes","No"),"No")</f>
        <v>No</v>
      </c>
    </row>
    <row r="55" spans="1:5" x14ac:dyDescent="0.45">
      <c r="A55" s="8">
        <v>2025</v>
      </c>
      <c r="B55" s="7" t="s">
        <v>87</v>
      </c>
      <c r="C55" s="8" t="s">
        <v>34</v>
      </c>
      <c r="D55" s="8">
        <v>0</v>
      </c>
      <c r="E55" s="8" t="str">
        <f>IFERROR(IF(VALUE(tblRace2025[[#This Row],[Position]])=1,"Yes","No"),"No")</f>
        <v>No</v>
      </c>
    </row>
    <row r="56" spans="1:5" x14ac:dyDescent="0.45">
      <c r="A56" s="4">
        <v>2025</v>
      </c>
      <c r="B56" s="6" t="s">
        <v>89</v>
      </c>
      <c r="C56" s="4" t="s">
        <v>62</v>
      </c>
      <c r="D56" s="4">
        <v>0</v>
      </c>
      <c r="E56" s="4" t="str">
        <f>IFERROR(IF(VALUE(tblRace2025[[#This Row],[Position]])=1,"Yes","No"),"No")</f>
        <v>No</v>
      </c>
    </row>
    <row r="57" spans="1:5" x14ac:dyDescent="0.45">
      <c r="A57" s="8">
        <v>2025</v>
      </c>
      <c r="B57" s="7" t="s">
        <v>43</v>
      </c>
      <c r="C57" s="8" t="s">
        <v>44</v>
      </c>
      <c r="D57" s="8">
        <v>0</v>
      </c>
      <c r="E57" s="8" t="str">
        <f>IFERROR(IF(VALUE(tblRace2025[[#This Row],[Position]])=1,"Yes","No"),"No")</f>
        <v>No</v>
      </c>
    </row>
    <row r="58" spans="1:5" x14ac:dyDescent="0.45">
      <c r="A58" s="4">
        <v>2025</v>
      </c>
      <c r="B58" s="6" t="s">
        <v>80</v>
      </c>
      <c r="C58" s="4" t="s">
        <v>67</v>
      </c>
      <c r="D58" s="4">
        <v>0</v>
      </c>
      <c r="E58" s="4" t="str">
        <f>IFERROR(IF(VALUE(tblRace2025[[#This Row],[Position]])=1,"Yes","No"),"No")</f>
        <v>No</v>
      </c>
    </row>
    <row r="59" spans="1:5" x14ac:dyDescent="0.45">
      <c r="A59" s="8">
        <v>2025</v>
      </c>
      <c r="B59" s="7" t="s">
        <v>71</v>
      </c>
      <c r="C59" s="8" t="s">
        <v>72</v>
      </c>
      <c r="D59" s="8">
        <v>0</v>
      </c>
      <c r="E59" s="8" t="str">
        <f>IFERROR(IF(VALUE(tblRace2025[[#This Row],[Position]])=1,"Yes","No"),"No")</f>
        <v>No</v>
      </c>
    </row>
    <row r="60" spans="1:5" x14ac:dyDescent="0.45">
      <c r="A60" s="4">
        <v>2025</v>
      </c>
      <c r="B60" s="6" t="s">
        <v>83</v>
      </c>
      <c r="C60" s="4" t="s">
        <v>44</v>
      </c>
      <c r="D60" s="4">
        <v>0</v>
      </c>
      <c r="E60" s="4" t="str">
        <f>IFERROR(IF(VALUE(tblRace2025[[#This Row],[Position]])=1,"Yes","No"),"No")</f>
        <v>No</v>
      </c>
    </row>
    <row r="61" spans="1:5" x14ac:dyDescent="0.45">
      <c r="A61" s="8">
        <v>2025</v>
      </c>
      <c r="B61" s="7" t="s">
        <v>38</v>
      </c>
      <c r="C61" s="8" t="s">
        <v>39</v>
      </c>
      <c r="D61" s="8">
        <v>0</v>
      </c>
      <c r="E61" s="8" t="str">
        <f>IFERROR(IF(VALUE(tblRace2025[[#This Row],[Position]])=1,"Yes","No"),"No")</f>
        <v>No</v>
      </c>
    </row>
    <row r="62" spans="1:5" x14ac:dyDescent="0.45">
      <c r="A62" s="4">
        <v>2025</v>
      </c>
      <c r="B62" s="6" t="s">
        <v>53</v>
      </c>
      <c r="C62" s="4" t="s">
        <v>14</v>
      </c>
      <c r="D62" s="4">
        <v>25</v>
      </c>
      <c r="E62" s="4" t="str">
        <f>IFERROR(IF(VALUE(tblRace2025[[#This Row],[Position]])=1,"Yes","No"),"No")</f>
        <v>Yes</v>
      </c>
    </row>
    <row r="63" spans="1:5" x14ac:dyDescent="0.45">
      <c r="A63" s="8">
        <v>2025</v>
      </c>
      <c r="B63" s="7" t="s">
        <v>24</v>
      </c>
      <c r="C63" s="8" t="s">
        <v>25</v>
      </c>
      <c r="D63" s="8">
        <v>18</v>
      </c>
      <c r="E63" s="8" t="str">
        <f>IFERROR(IF(VALUE(tblRace2025[[#This Row],[Position]])=1,"Yes","No"),"No")</f>
        <v>No</v>
      </c>
    </row>
    <row r="64" spans="1:5" x14ac:dyDescent="0.45">
      <c r="A64" s="4">
        <v>2025</v>
      </c>
      <c r="B64" s="6" t="s">
        <v>13</v>
      </c>
      <c r="C64" s="4" t="s">
        <v>14</v>
      </c>
      <c r="D64" s="4">
        <v>15</v>
      </c>
      <c r="E64" s="4" t="str">
        <f>IFERROR(IF(VALUE(tblRace2025[[#This Row],[Position]])=1,"Yes","No"),"No")</f>
        <v>No</v>
      </c>
    </row>
    <row r="65" spans="1:5" x14ac:dyDescent="0.45">
      <c r="A65" s="8">
        <v>2025</v>
      </c>
      <c r="B65" s="7" t="s">
        <v>48</v>
      </c>
      <c r="C65" s="8" t="s">
        <v>49</v>
      </c>
      <c r="D65" s="8">
        <v>12</v>
      </c>
      <c r="E65" s="8" t="str">
        <f>IFERROR(IF(VALUE(tblRace2025[[#This Row],[Position]])=1,"Yes","No"),"No")</f>
        <v>No</v>
      </c>
    </row>
    <row r="66" spans="1:5" x14ac:dyDescent="0.45">
      <c r="A66" s="4">
        <v>2025</v>
      </c>
      <c r="B66" s="6" t="s">
        <v>57</v>
      </c>
      <c r="C66" s="4" t="s">
        <v>49</v>
      </c>
      <c r="D66" s="4">
        <v>10</v>
      </c>
      <c r="E66" s="4" t="str">
        <f>IFERROR(IF(VALUE(tblRace2025[[#This Row],[Position]])=1,"Yes","No"),"No")</f>
        <v>No</v>
      </c>
    </row>
    <row r="67" spans="1:5" x14ac:dyDescent="0.45">
      <c r="A67" s="8">
        <v>2025</v>
      </c>
      <c r="B67" s="7" t="s">
        <v>19</v>
      </c>
      <c r="C67" s="8" t="s">
        <v>20</v>
      </c>
      <c r="D67" s="8">
        <v>8</v>
      </c>
      <c r="E67" s="8" t="str">
        <f>IFERROR(IF(VALUE(tblRace2025[[#This Row],[Position]])=1,"Yes","No"),"No")</f>
        <v>No</v>
      </c>
    </row>
    <row r="68" spans="1:5" x14ac:dyDescent="0.45">
      <c r="A68" s="4">
        <v>2025</v>
      </c>
      <c r="B68" s="6" t="s">
        <v>61</v>
      </c>
      <c r="C68" s="4" t="s">
        <v>62</v>
      </c>
      <c r="D68" s="4">
        <v>6</v>
      </c>
      <c r="E68" s="4" t="str">
        <f>IFERROR(IF(VALUE(tblRace2025[[#This Row],[Position]])=1,"Yes","No"),"No")</f>
        <v>No</v>
      </c>
    </row>
    <row r="69" spans="1:5" x14ac:dyDescent="0.45">
      <c r="A69" s="8">
        <v>2025</v>
      </c>
      <c r="B69" s="7" t="s">
        <v>71</v>
      </c>
      <c r="C69" s="8" t="s">
        <v>72</v>
      </c>
      <c r="D69" s="8">
        <v>4</v>
      </c>
      <c r="E69" s="8" t="str">
        <f>IFERROR(IF(VALUE(tblRace2025[[#This Row],[Position]])=1,"Yes","No"),"No")</f>
        <v>No</v>
      </c>
    </row>
    <row r="70" spans="1:5" x14ac:dyDescent="0.45">
      <c r="A70" s="4">
        <v>2025</v>
      </c>
      <c r="B70" s="6" t="s">
        <v>66</v>
      </c>
      <c r="C70" s="4" t="s">
        <v>20</v>
      </c>
      <c r="D70" s="4">
        <v>2</v>
      </c>
      <c r="E70" s="4" t="str">
        <f>IFERROR(IF(VALUE(tblRace2025[[#This Row],[Position]])=1,"Yes","No"),"No")</f>
        <v>No</v>
      </c>
    </row>
    <row r="71" spans="1:5" x14ac:dyDescent="0.45">
      <c r="A71" s="8">
        <v>2025</v>
      </c>
      <c r="B71" s="7" t="s">
        <v>76</v>
      </c>
      <c r="C71" s="8" t="s">
        <v>72</v>
      </c>
      <c r="D71" s="8">
        <v>1</v>
      </c>
      <c r="E71" s="8" t="str">
        <f>IFERROR(IF(VALUE(tblRace2025[[#This Row],[Position]])=1,"Yes","No"),"No")</f>
        <v>No</v>
      </c>
    </row>
    <row r="72" spans="1:5" x14ac:dyDescent="0.45">
      <c r="A72" s="4">
        <v>2025</v>
      </c>
      <c r="B72" s="6" t="s">
        <v>29</v>
      </c>
      <c r="C72" s="4" t="s">
        <v>25</v>
      </c>
      <c r="D72" s="4">
        <v>0</v>
      </c>
      <c r="E72" s="4" t="str">
        <f>IFERROR(IF(VALUE(tblRace2025[[#This Row],[Position]])=1,"Yes","No"),"No")</f>
        <v>No</v>
      </c>
    </row>
    <row r="73" spans="1:5" x14ac:dyDescent="0.45">
      <c r="A73" s="8">
        <v>2025</v>
      </c>
      <c r="B73" s="7" t="s">
        <v>33</v>
      </c>
      <c r="C73" s="8" t="s">
        <v>34</v>
      </c>
      <c r="D73" s="8">
        <v>0</v>
      </c>
      <c r="E73" s="8" t="str">
        <f>IFERROR(IF(VALUE(tblRace2025[[#This Row],[Position]])=1,"Yes","No"),"No")</f>
        <v>No</v>
      </c>
    </row>
    <row r="74" spans="1:5" x14ac:dyDescent="0.45">
      <c r="A74" s="4">
        <v>2025</v>
      </c>
      <c r="B74" s="6" t="s">
        <v>90</v>
      </c>
      <c r="C74" s="4" t="s">
        <v>67</v>
      </c>
      <c r="D74" s="4">
        <v>0</v>
      </c>
      <c r="E74" s="4" t="str">
        <f>IFERROR(IF(VALUE(tblRace2025[[#This Row],[Position]])=1,"Yes","No"),"No")</f>
        <v>No</v>
      </c>
    </row>
    <row r="75" spans="1:5" x14ac:dyDescent="0.45">
      <c r="A75" s="8">
        <v>2025</v>
      </c>
      <c r="B75" s="7" t="s">
        <v>89</v>
      </c>
      <c r="C75" s="8" t="s">
        <v>62</v>
      </c>
      <c r="D75" s="8">
        <v>0</v>
      </c>
      <c r="E75" s="8" t="str">
        <f>IFERROR(IF(VALUE(tblRace2025[[#This Row],[Position]])=1,"Yes","No"),"No")</f>
        <v>No</v>
      </c>
    </row>
    <row r="76" spans="1:5" x14ac:dyDescent="0.45">
      <c r="A76" s="4">
        <v>2025</v>
      </c>
      <c r="B76" s="6" t="s">
        <v>85</v>
      </c>
      <c r="C76" s="4" t="s">
        <v>39</v>
      </c>
      <c r="D76" s="4">
        <v>0</v>
      </c>
      <c r="E76" s="4" t="str">
        <f>IFERROR(IF(VALUE(tblRace2025[[#This Row],[Position]])=1,"Yes","No"),"No")</f>
        <v>No</v>
      </c>
    </row>
    <row r="77" spans="1:5" x14ac:dyDescent="0.45">
      <c r="A77" s="8">
        <v>2025</v>
      </c>
      <c r="B77" s="7" t="s">
        <v>80</v>
      </c>
      <c r="C77" s="8" t="s">
        <v>67</v>
      </c>
      <c r="D77" s="8">
        <v>0</v>
      </c>
      <c r="E77" s="8" t="str">
        <f>IFERROR(IF(VALUE(tblRace2025[[#This Row],[Position]])=1,"Yes","No"),"No")</f>
        <v>No</v>
      </c>
    </row>
    <row r="78" spans="1:5" x14ac:dyDescent="0.45">
      <c r="A78" s="4">
        <v>2025</v>
      </c>
      <c r="B78" s="6" t="s">
        <v>38</v>
      </c>
      <c r="C78" s="4" t="s">
        <v>39</v>
      </c>
      <c r="D78" s="4">
        <v>0</v>
      </c>
      <c r="E78" s="4" t="str">
        <f>IFERROR(IF(VALUE(tblRace2025[[#This Row],[Position]])=1,"Yes","No"),"No")</f>
        <v>No</v>
      </c>
    </row>
    <row r="79" spans="1:5" x14ac:dyDescent="0.45">
      <c r="A79" s="8">
        <v>2025</v>
      </c>
      <c r="B79" s="7" t="s">
        <v>83</v>
      </c>
      <c r="C79" s="8" t="s">
        <v>44</v>
      </c>
      <c r="D79" s="8">
        <v>0</v>
      </c>
      <c r="E79" s="8" t="str">
        <f>IFERROR(IF(VALUE(tblRace2025[[#This Row],[Position]])=1,"Yes","No"),"No")</f>
        <v>No</v>
      </c>
    </row>
    <row r="80" spans="1:5" x14ac:dyDescent="0.45">
      <c r="A80" s="4">
        <v>2025</v>
      </c>
      <c r="B80" s="6" t="s">
        <v>87</v>
      </c>
      <c r="C80" s="4" t="s">
        <v>34</v>
      </c>
      <c r="D80" s="4">
        <v>0</v>
      </c>
      <c r="E80" s="4" t="str">
        <f>IFERROR(IF(VALUE(tblRace2025[[#This Row],[Position]])=1,"Yes","No"),"No")</f>
        <v>No</v>
      </c>
    </row>
    <row r="81" spans="1:5" x14ac:dyDescent="0.45">
      <c r="A81" s="8">
        <v>2025</v>
      </c>
      <c r="B81" s="7" t="s">
        <v>43</v>
      </c>
      <c r="C81" s="8" t="s">
        <v>44</v>
      </c>
      <c r="D81" s="8">
        <v>0</v>
      </c>
      <c r="E81" s="8" t="str">
        <f>IFERROR(IF(VALUE(tblRace2025[[#This Row],[Position]])=1,"Yes","No"),"No")</f>
        <v>No</v>
      </c>
    </row>
    <row r="82" spans="1:5" x14ac:dyDescent="0.45">
      <c r="A82" s="4">
        <v>2025</v>
      </c>
      <c r="B82" s="6" t="s">
        <v>53</v>
      </c>
      <c r="C82" s="4" t="s">
        <v>14</v>
      </c>
      <c r="D82" s="4">
        <v>25</v>
      </c>
      <c r="E82" s="4" t="str">
        <f>IFERROR(IF(VALUE(tblRace2025[[#This Row],[Position]])=1,"Yes","No"),"No")</f>
        <v>Yes</v>
      </c>
    </row>
    <row r="83" spans="1:5" x14ac:dyDescent="0.45">
      <c r="A83" s="8">
        <v>2025</v>
      </c>
      <c r="B83" s="7" t="s">
        <v>19</v>
      </c>
      <c r="C83" s="8" t="s">
        <v>20</v>
      </c>
      <c r="D83" s="8">
        <v>18</v>
      </c>
      <c r="E83" s="8" t="str">
        <f>IFERROR(IF(VALUE(tblRace2025[[#This Row],[Position]])=1,"Yes","No"),"No")</f>
        <v>No</v>
      </c>
    </row>
    <row r="84" spans="1:5" x14ac:dyDescent="0.45">
      <c r="A84" s="4">
        <v>2025</v>
      </c>
      <c r="B84" s="6" t="s">
        <v>48</v>
      </c>
      <c r="C84" s="4" t="s">
        <v>49</v>
      </c>
      <c r="D84" s="4">
        <v>15</v>
      </c>
      <c r="E84" s="4" t="str">
        <f>IFERROR(IF(VALUE(tblRace2025[[#This Row],[Position]])=1,"Yes","No"),"No")</f>
        <v>No</v>
      </c>
    </row>
    <row r="85" spans="1:5" x14ac:dyDescent="0.45">
      <c r="A85" s="8">
        <v>2025</v>
      </c>
      <c r="B85" s="7" t="s">
        <v>13</v>
      </c>
      <c r="C85" s="8" t="s">
        <v>14</v>
      </c>
      <c r="D85" s="8">
        <v>12</v>
      </c>
      <c r="E85" s="8" t="str">
        <f>IFERROR(IF(VALUE(tblRace2025[[#This Row],[Position]])=1,"Yes","No"),"No")</f>
        <v>No</v>
      </c>
    </row>
    <row r="86" spans="1:5" x14ac:dyDescent="0.45">
      <c r="A86" s="4">
        <v>2025</v>
      </c>
      <c r="B86" s="6" t="s">
        <v>24</v>
      </c>
      <c r="C86" s="4" t="s">
        <v>25</v>
      </c>
      <c r="D86" s="4">
        <v>10</v>
      </c>
      <c r="E86" s="4" t="str">
        <f>IFERROR(IF(VALUE(tblRace2025[[#This Row],[Position]])=1,"Yes","No"),"No")</f>
        <v>No</v>
      </c>
    </row>
    <row r="87" spans="1:5" x14ac:dyDescent="0.45">
      <c r="A87" s="8">
        <v>2025</v>
      </c>
      <c r="B87" s="7" t="s">
        <v>29</v>
      </c>
      <c r="C87" s="8" t="s">
        <v>25</v>
      </c>
      <c r="D87" s="8">
        <v>8</v>
      </c>
      <c r="E87" s="8" t="str">
        <f>IFERROR(IF(VALUE(tblRace2025[[#This Row],[Position]])=1,"Yes","No"),"No")</f>
        <v>No</v>
      </c>
    </row>
    <row r="88" spans="1:5" x14ac:dyDescent="0.45">
      <c r="A88" s="4">
        <v>2025</v>
      </c>
      <c r="B88" s="6" t="s">
        <v>57</v>
      </c>
      <c r="C88" s="4" t="s">
        <v>49</v>
      </c>
      <c r="D88" s="4">
        <v>6</v>
      </c>
      <c r="E88" s="4" t="str">
        <f>IFERROR(IF(VALUE(tblRace2025[[#This Row],[Position]])=1,"Yes","No"),"No")</f>
        <v>No</v>
      </c>
    </row>
    <row r="89" spans="1:5" x14ac:dyDescent="0.45">
      <c r="A89" s="8">
        <v>2025</v>
      </c>
      <c r="B89" s="7" t="s">
        <v>87</v>
      </c>
      <c r="C89" s="8" t="s">
        <v>34</v>
      </c>
      <c r="D89" s="8">
        <v>4</v>
      </c>
      <c r="E89" s="8" t="str">
        <f>IFERROR(IF(VALUE(tblRace2025[[#This Row],[Position]])=1,"Yes","No"),"No")</f>
        <v>No</v>
      </c>
    </row>
    <row r="90" spans="1:5" x14ac:dyDescent="0.45">
      <c r="A90" s="4">
        <v>2025</v>
      </c>
      <c r="B90" s="6" t="s">
        <v>33</v>
      </c>
      <c r="C90" s="4" t="s">
        <v>34</v>
      </c>
      <c r="D90" s="4">
        <v>2</v>
      </c>
      <c r="E90" s="4" t="str">
        <f>IFERROR(IF(VALUE(tblRace2025[[#This Row],[Position]])=1,"Yes","No"),"No")</f>
        <v>No</v>
      </c>
    </row>
    <row r="91" spans="1:5" x14ac:dyDescent="0.45">
      <c r="A91" s="8">
        <v>2025</v>
      </c>
      <c r="B91" s="7" t="s">
        <v>90</v>
      </c>
      <c r="C91" s="8" t="s">
        <v>67</v>
      </c>
      <c r="D91" s="8">
        <v>1</v>
      </c>
      <c r="E91" s="8" t="str">
        <f>IFERROR(IF(VALUE(tblRace2025[[#This Row],[Position]])=1,"Yes","No"),"No")</f>
        <v>No</v>
      </c>
    </row>
    <row r="92" spans="1:5" x14ac:dyDescent="0.45">
      <c r="A92" s="4">
        <v>2025</v>
      </c>
      <c r="B92" s="6" t="s">
        <v>85</v>
      </c>
      <c r="C92" s="4" t="s">
        <v>39</v>
      </c>
      <c r="D92" s="4">
        <v>0</v>
      </c>
      <c r="E92" s="4" t="str">
        <f>IFERROR(IF(VALUE(tblRace2025[[#This Row],[Position]])=1,"Yes","No"),"No")</f>
        <v>No</v>
      </c>
    </row>
    <row r="93" spans="1:5" x14ac:dyDescent="0.45">
      <c r="A93" s="8">
        <v>2025</v>
      </c>
      <c r="B93" s="7" t="s">
        <v>80</v>
      </c>
      <c r="C93" s="8" t="s">
        <v>67</v>
      </c>
      <c r="D93" s="8">
        <v>0</v>
      </c>
      <c r="E93" s="8" t="str">
        <f>IFERROR(IF(VALUE(tblRace2025[[#This Row],[Position]])=1,"Yes","No"),"No")</f>
        <v>No</v>
      </c>
    </row>
    <row r="94" spans="1:5" x14ac:dyDescent="0.45">
      <c r="A94" s="4">
        <v>2025</v>
      </c>
      <c r="B94" s="6" t="s">
        <v>76</v>
      </c>
      <c r="C94" s="4" t="s">
        <v>72</v>
      </c>
      <c r="D94" s="4">
        <v>0</v>
      </c>
      <c r="E94" s="4" t="str">
        <f>IFERROR(IF(VALUE(tblRace2025[[#This Row],[Position]])=1,"Yes","No"),"No")</f>
        <v>No</v>
      </c>
    </row>
    <row r="95" spans="1:5" x14ac:dyDescent="0.45">
      <c r="A95" s="8">
        <v>2025</v>
      </c>
      <c r="B95" s="7" t="s">
        <v>71</v>
      </c>
      <c r="C95" s="8" t="s">
        <v>72</v>
      </c>
      <c r="D95" s="8">
        <v>0</v>
      </c>
      <c r="E95" s="8" t="str">
        <f>IFERROR(IF(VALUE(tblRace2025[[#This Row],[Position]])=1,"Yes","No"),"No")</f>
        <v>No</v>
      </c>
    </row>
    <row r="96" spans="1:5" x14ac:dyDescent="0.45">
      <c r="A96" s="4">
        <v>2025</v>
      </c>
      <c r="B96" s="6" t="s">
        <v>43</v>
      </c>
      <c r="C96" s="4" t="s">
        <v>44</v>
      </c>
      <c r="D96" s="4">
        <v>0</v>
      </c>
      <c r="E96" s="4" t="str">
        <f>IFERROR(IF(VALUE(tblRace2025[[#This Row],[Position]])=1,"Yes","No"),"No")</f>
        <v>No</v>
      </c>
    </row>
    <row r="97" spans="1:5" x14ac:dyDescent="0.45">
      <c r="A97" s="8">
        <v>2025</v>
      </c>
      <c r="B97" s="7" t="s">
        <v>38</v>
      </c>
      <c r="C97" s="8" t="s">
        <v>39</v>
      </c>
      <c r="D97" s="8">
        <v>0</v>
      </c>
      <c r="E97" s="8" t="str">
        <f>IFERROR(IF(VALUE(tblRace2025[[#This Row],[Position]])=1,"Yes","No"),"No")</f>
        <v>No</v>
      </c>
    </row>
    <row r="98" spans="1:5" x14ac:dyDescent="0.45">
      <c r="A98" s="4">
        <v>2025</v>
      </c>
      <c r="B98" s="6" t="s">
        <v>89</v>
      </c>
      <c r="C98" s="4" t="s">
        <v>62</v>
      </c>
      <c r="D98" s="4">
        <v>0</v>
      </c>
      <c r="E98" s="4" t="str">
        <f>IFERROR(IF(VALUE(tblRace2025[[#This Row],[Position]])=1,"Yes","No"),"No")</f>
        <v>No</v>
      </c>
    </row>
    <row r="99" spans="1:5" x14ac:dyDescent="0.45">
      <c r="A99" s="8">
        <v>2025</v>
      </c>
      <c r="B99" s="7" t="s">
        <v>83</v>
      </c>
      <c r="C99" s="8" t="s">
        <v>44</v>
      </c>
      <c r="D99" s="8">
        <v>0</v>
      </c>
      <c r="E99" s="8" t="str">
        <f>IFERROR(IF(VALUE(tblRace2025[[#This Row],[Position]])=1,"Yes","No"),"No")</f>
        <v>No</v>
      </c>
    </row>
    <row r="100" spans="1:5" x14ac:dyDescent="0.45">
      <c r="A100" s="4">
        <v>2025</v>
      </c>
      <c r="B100" s="6" t="s">
        <v>66</v>
      </c>
      <c r="C100" s="4" t="s">
        <v>20</v>
      </c>
      <c r="D100" s="4">
        <v>0</v>
      </c>
      <c r="E100" s="4" t="str">
        <f>IFERROR(IF(VALUE(tblRace2025[[#This Row],[Position]])=1,"Yes","No"),"No")</f>
        <v>No</v>
      </c>
    </row>
    <row r="101" spans="1:5" x14ac:dyDescent="0.45">
      <c r="A101" s="8">
        <v>2025</v>
      </c>
      <c r="B101" s="7" t="s">
        <v>61</v>
      </c>
      <c r="C101" s="8" t="s">
        <v>62</v>
      </c>
      <c r="D101" s="8">
        <v>0</v>
      </c>
      <c r="E101" s="8" t="str">
        <f>IFERROR(IF(VALUE(tblRace2025[[#This Row],[Position]])=1,"Yes","No"),"No")</f>
        <v>No</v>
      </c>
    </row>
    <row r="102" spans="1:5" x14ac:dyDescent="0.45">
      <c r="A102" s="4">
        <v>2025</v>
      </c>
      <c r="B102" s="6" t="s">
        <v>53</v>
      </c>
      <c r="C102" s="4" t="s">
        <v>14</v>
      </c>
      <c r="D102" s="4">
        <v>25</v>
      </c>
      <c r="E102" s="4" t="str">
        <f>IFERROR(IF(VALUE(tblRace2025[[#This Row],[Position]])=1,"Yes","No"),"No")</f>
        <v>Yes</v>
      </c>
    </row>
    <row r="103" spans="1:5" x14ac:dyDescent="0.45">
      <c r="A103" s="8">
        <v>2025</v>
      </c>
      <c r="B103" s="7" t="s">
        <v>13</v>
      </c>
      <c r="C103" s="8" t="s">
        <v>14</v>
      </c>
      <c r="D103" s="8">
        <v>18</v>
      </c>
      <c r="E103" s="8" t="str">
        <f>IFERROR(IF(VALUE(tblRace2025[[#This Row],[Position]])=1,"Yes","No"),"No")</f>
        <v>No</v>
      </c>
    </row>
    <row r="104" spans="1:5" x14ac:dyDescent="0.45">
      <c r="A104" s="4">
        <v>2025</v>
      </c>
      <c r="B104" s="6" t="s">
        <v>24</v>
      </c>
      <c r="C104" s="4" t="s">
        <v>25</v>
      </c>
      <c r="D104" s="4">
        <v>15</v>
      </c>
      <c r="E104" s="4" t="str">
        <f>IFERROR(IF(VALUE(tblRace2025[[#This Row],[Position]])=1,"Yes","No"),"No")</f>
        <v>No</v>
      </c>
    </row>
    <row r="105" spans="1:5" x14ac:dyDescent="0.45">
      <c r="A105" s="8">
        <v>2025</v>
      </c>
      <c r="B105" s="7" t="s">
        <v>19</v>
      </c>
      <c r="C105" s="8" t="s">
        <v>20</v>
      </c>
      <c r="D105" s="8">
        <v>12</v>
      </c>
      <c r="E105" s="8" t="str">
        <f>IFERROR(IF(VALUE(tblRace2025[[#This Row],[Position]])=1,"Yes","No"),"No")</f>
        <v>No</v>
      </c>
    </row>
    <row r="106" spans="1:5" x14ac:dyDescent="0.45">
      <c r="A106" s="4">
        <v>2025</v>
      </c>
      <c r="B106" s="6" t="s">
        <v>33</v>
      </c>
      <c r="C106" s="4" t="s">
        <v>34</v>
      </c>
      <c r="D106" s="4">
        <v>10</v>
      </c>
      <c r="E106" s="4" t="str">
        <f>IFERROR(IF(VALUE(tblRace2025[[#This Row],[Position]])=1,"Yes","No"),"No")</f>
        <v>No</v>
      </c>
    </row>
    <row r="107" spans="1:5" x14ac:dyDescent="0.45">
      <c r="A107" s="8">
        <v>2025</v>
      </c>
      <c r="B107" s="7" t="s">
        <v>29</v>
      </c>
      <c r="C107" s="8" t="s">
        <v>25</v>
      </c>
      <c r="D107" s="8">
        <v>8</v>
      </c>
      <c r="E107" s="8" t="str">
        <f>IFERROR(IF(VALUE(tblRace2025[[#This Row],[Position]])=1,"Yes","No"),"No")</f>
        <v>No</v>
      </c>
    </row>
    <row r="108" spans="1:5" x14ac:dyDescent="0.45">
      <c r="A108" s="4">
        <v>2025</v>
      </c>
      <c r="B108" s="6" t="s">
        <v>48</v>
      </c>
      <c r="C108" s="4" t="s">
        <v>49</v>
      </c>
      <c r="D108" s="4">
        <v>6</v>
      </c>
      <c r="E108" s="4" t="str">
        <f>IFERROR(IF(VALUE(tblRace2025[[#This Row],[Position]])=1,"Yes","No"),"No")</f>
        <v>No</v>
      </c>
    </row>
    <row r="109" spans="1:5" x14ac:dyDescent="0.45">
      <c r="A109" s="8">
        <v>2025</v>
      </c>
      <c r="B109" s="7" t="s">
        <v>57</v>
      </c>
      <c r="C109" s="8" t="s">
        <v>49</v>
      </c>
      <c r="D109" s="8">
        <v>4</v>
      </c>
      <c r="E109" s="8" t="str">
        <f>IFERROR(IF(VALUE(tblRace2025[[#This Row],[Position]])=1,"Yes","No"),"No")</f>
        <v>No</v>
      </c>
    </row>
    <row r="110" spans="1:5" x14ac:dyDescent="0.45">
      <c r="A110" s="4">
        <v>2025</v>
      </c>
      <c r="B110" s="6" t="s">
        <v>87</v>
      </c>
      <c r="C110" s="4" t="s">
        <v>34</v>
      </c>
      <c r="D110" s="4">
        <v>2</v>
      </c>
      <c r="E110" s="4" t="str">
        <f>IFERROR(IF(VALUE(tblRace2025[[#This Row],[Position]])=1,"Yes","No"),"No")</f>
        <v>No</v>
      </c>
    </row>
    <row r="111" spans="1:5" x14ac:dyDescent="0.45">
      <c r="A111" s="8">
        <v>2025</v>
      </c>
      <c r="B111" s="7" t="s">
        <v>66</v>
      </c>
      <c r="C111" s="8" t="s">
        <v>20</v>
      </c>
      <c r="D111" s="8">
        <v>1</v>
      </c>
      <c r="E111" s="8" t="str">
        <f>IFERROR(IF(VALUE(tblRace2025[[#This Row],[Position]])=1,"Yes","No"),"No")</f>
        <v>No</v>
      </c>
    </row>
    <row r="112" spans="1:5" x14ac:dyDescent="0.45">
      <c r="A112" s="4">
        <v>2025</v>
      </c>
      <c r="B112" s="6" t="s">
        <v>90</v>
      </c>
      <c r="C112" s="4" t="s">
        <v>67</v>
      </c>
      <c r="D112" s="4">
        <v>0</v>
      </c>
      <c r="E112" s="4" t="str">
        <f>IFERROR(IF(VALUE(tblRace2025[[#This Row],[Position]])=1,"Yes","No"),"No")</f>
        <v>No</v>
      </c>
    </row>
    <row r="113" spans="1:5" x14ac:dyDescent="0.45">
      <c r="A113" s="8">
        <v>2025</v>
      </c>
      <c r="B113" s="7" t="s">
        <v>71</v>
      </c>
      <c r="C113" s="8" t="s">
        <v>72</v>
      </c>
      <c r="D113" s="8">
        <v>0</v>
      </c>
      <c r="E113" s="8" t="str">
        <f>IFERROR(IF(VALUE(tblRace2025[[#This Row],[Position]])=1,"Yes","No"),"No")</f>
        <v>No</v>
      </c>
    </row>
    <row r="114" spans="1:5" x14ac:dyDescent="0.45">
      <c r="A114" s="4">
        <v>2025</v>
      </c>
      <c r="B114" s="6" t="s">
        <v>61</v>
      </c>
      <c r="C114" s="4" t="s">
        <v>62</v>
      </c>
      <c r="D114" s="4">
        <v>0</v>
      </c>
      <c r="E114" s="4" t="str">
        <f>IFERROR(IF(VALUE(tblRace2025[[#This Row],[Position]])=1,"Yes","No"),"No")</f>
        <v>No</v>
      </c>
    </row>
    <row r="115" spans="1:5" x14ac:dyDescent="0.45">
      <c r="A115" s="8">
        <v>2025</v>
      </c>
      <c r="B115" s="7" t="s">
        <v>43</v>
      </c>
      <c r="C115" s="8" t="s">
        <v>44</v>
      </c>
      <c r="D115" s="8">
        <v>0</v>
      </c>
      <c r="E115" s="8" t="str">
        <f>IFERROR(IF(VALUE(tblRace2025[[#This Row],[Position]])=1,"Yes","No"),"No")</f>
        <v>No</v>
      </c>
    </row>
    <row r="116" spans="1:5" x14ac:dyDescent="0.45">
      <c r="A116" s="4">
        <v>2025</v>
      </c>
      <c r="B116" s="6" t="s">
        <v>85</v>
      </c>
      <c r="C116" s="4" t="s">
        <v>39</v>
      </c>
      <c r="D116" s="4">
        <v>0</v>
      </c>
      <c r="E116" s="4" t="str">
        <f>IFERROR(IF(VALUE(tblRace2025[[#This Row],[Position]])=1,"Yes","No"),"No")</f>
        <v>No</v>
      </c>
    </row>
    <row r="117" spans="1:5" x14ac:dyDescent="0.45">
      <c r="A117" s="8">
        <v>2025</v>
      </c>
      <c r="B117" s="7" t="s">
        <v>38</v>
      </c>
      <c r="C117" s="8" t="s">
        <v>39</v>
      </c>
      <c r="D117" s="8">
        <v>0</v>
      </c>
      <c r="E117" s="8" t="str">
        <f>IFERROR(IF(VALUE(tblRace2025[[#This Row],[Position]])=1,"Yes","No"),"No")</f>
        <v>No</v>
      </c>
    </row>
    <row r="118" spans="1:5" x14ac:dyDescent="0.45">
      <c r="A118" s="4">
        <v>2025</v>
      </c>
      <c r="B118" s="6" t="s">
        <v>80</v>
      </c>
      <c r="C118" s="4" t="s">
        <v>67</v>
      </c>
      <c r="D118" s="4">
        <v>0</v>
      </c>
      <c r="E118" s="4" t="str">
        <f>IFERROR(IF(VALUE(tblRace2025[[#This Row],[Position]])=1,"Yes","No"),"No")</f>
        <v>No</v>
      </c>
    </row>
    <row r="119" spans="1:5" x14ac:dyDescent="0.45">
      <c r="A119" s="8">
        <v>2025</v>
      </c>
      <c r="B119" s="7" t="s">
        <v>83</v>
      </c>
      <c r="C119" s="8" t="s">
        <v>44</v>
      </c>
      <c r="D119" s="8">
        <v>0</v>
      </c>
      <c r="E119" s="8" t="str">
        <f>IFERROR(IF(VALUE(tblRace2025[[#This Row],[Position]])=1,"Yes","No"),"No")</f>
        <v>No</v>
      </c>
    </row>
    <row r="120" spans="1:5" x14ac:dyDescent="0.45">
      <c r="A120" s="4">
        <v>2025</v>
      </c>
      <c r="B120" s="6" t="s">
        <v>76</v>
      </c>
      <c r="C120" s="4" t="s">
        <v>72</v>
      </c>
      <c r="D120" s="4">
        <v>0</v>
      </c>
      <c r="E120" s="4" t="str">
        <f>IFERROR(IF(VALUE(tblRace2025[[#This Row],[Position]])=1,"Yes","No"),"No")</f>
        <v>No</v>
      </c>
    </row>
    <row r="121" spans="1:5" x14ac:dyDescent="0.45">
      <c r="A121" s="8">
        <v>2025</v>
      </c>
      <c r="B121" s="7" t="s">
        <v>89</v>
      </c>
      <c r="C121" s="8" t="s">
        <v>62</v>
      </c>
      <c r="D121" s="8">
        <v>0</v>
      </c>
      <c r="E121" s="8" t="str">
        <f>IFERROR(IF(VALUE(tblRace2025[[#This Row],[Position]])=1,"Yes","No"),"No")</f>
        <v>No</v>
      </c>
    </row>
    <row r="122" spans="1:5" x14ac:dyDescent="0.45">
      <c r="A122" s="4">
        <v>2025</v>
      </c>
      <c r="B122" s="6" t="s">
        <v>19</v>
      </c>
      <c r="C122" s="4" t="s">
        <v>20</v>
      </c>
      <c r="D122" s="4">
        <v>25</v>
      </c>
      <c r="E122" s="4" t="str">
        <f>IFERROR(IF(VALUE(tblRace2025[[#This Row],[Position]])=1,"Yes","No"),"No")</f>
        <v>Yes</v>
      </c>
    </row>
    <row r="123" spans="1:5" x14ac:dyDescent="0.45">
      <c r="A123" s="8">
        <v>2025</v>
      </c>
      <c r="B123" s="7" t="s">
        <v>13</v>
      </c>
      <c r="C123" s="8" t="s">
        <v>14</v>
      </c>
      <c r="D123" s="8">
        <v>18</v>
      </c>
      <c r="E123" s="8" t="str">
        <f>IFERROR(IF(VALUE(tblRace2025[[#This Row],[Position]])=1,"Yes","No"),"No")</f>
        <v>No</v>
      </c>
    </row>
    <row r="124" spans="1:5" x14ac:dyDescent="0.45">
      <c r="A124" s="4">
        <v>2025</v>
      </c>
      <c r="B124" s="6" t="s">
        <v>53</v>
      </c>
      <c r="C124" s="4" t="s">
        <v>14</v>
      </c>
      <c r="D124" s="4">
        <v>15</v>
      </c>
      <c r="E124" s="4" t="str">
        <f>IFERROR(IF(VALUE(tblRace2025[[#This Row],[Position]])=1,"Yes","No"),"No")</f>
        <v>No</v>
      </c>
    </row>
    <row r="125" spans="1:5" x14ac:dyDescent="0.45">
      <c r="A125" s="8">
        <v>2025</v>
      </c>
      <c r="B125" s="7" t="s">
        <v>57</v>
      </c>
      <c r="C125" s="8" t="s">
        <v>49</v>
      </c>
      <c r="D125" s="8">
        <v>12</v>
      </c>
      <c r="E125" s="8" t="str">
        <f>IFERROR(IF(VALUE(tblRace2025[[#This Row],[Position]])=1,"Yes","No"),"No")</f>
        <v>No</v>
      </c>
    </row>
    <row r="126" spans="1:5" x14ac:dyDescent="0.45">
      <c r="A126" s="4">
        <v>2025</v>
      </c>
      <c r="B126" s="6" t="s">
        <v>33</v>
      </c>
      <c r="C126" s="4" t="s">
        <v>34</v>
      </c>
      <c r="D126" s="4">
        <v>10</v>
      </c>
      <c r="E126" s="4" t="str">
        <f>IFERROR(IF(VALUE(tblRace2025[[#This Row],[Position]])=1,"Yes","No"),"No")</f>
        <v>No</v>
      </c>
    </row>
    <row r="127" spans="1:5" x14ac:dyDescent="0.45">
      <c r="A127" s="8">
        <v>2025</v>
      </c>
      <c r="B127" s="7" t="s">
        <v>48</v>
      </c>
      <c r="C127" s="8" t="s">
        <v>49</v>
      </c>
      <c r="D127" s="8">
        <v>8</v>
      </c>
      <c r="E127" s="8" t="str">
        <f>IFERROR(IF(VALUE(tblRace2025[[#This Row],[Position]])=1,"Yes","No"),"No")</f>
        <v>No</v>
      </c>
    </row>
    <row r="128" spans="1:5" x14ac:dyDescent="0.45">
      <c r="A128" s="4">
        <v>2025</v>
      </c>
      <c r="B128" s="6" t="s">
        <v>24</v>
      </c>
      <c r="C128" s="4" t="s">
        <v>25</v>
      </c>
      <c r="D128" s="4">
        <v>6</v>
      </c>
      <c r="E128" s="4" t="str">
        <f>IFERROR(IF(VALUE(tblRace2025[[#This Row],[Position]])=1,"Yes","No"),"No")</f>
        <v>No</v>
      </c>
    </row>
    <row r="129" spans="1:5" x14ac:dyDescent="0.45">
      <c r="A129" s="8">
        <v>2025</v>
      </c>
      <c r="B129" s="7" t="s">
        <v>87</v>
      </c>
      <c r="C129" s="8" t="s">
        <v>34</v>
      </c>
      <c r="D129" s="8">
        <v>4</v>
      </c>
      <c r="E129" s="8" t="str">
        <f>IFERROR(IF(VALUE(tblRace2025[[#This Row],[Position]])=1,"Yes","No"),"No")</f>
        <v>No</v>
      </c>
    </row>
    <row r="130" spans="1:5" x14ac:dyDescent="0.45">
      <c r="A130" s="4">
        <v>2025</v>
      </c>
      <c r="B130" s="6" t="s">
        <v>90</v>
      </c>
      <c r="C130" s="4" t="s">
        <v>67</v>
      </c>
      <c r="D130" s="4">
        <v>2</v>
      </c>
      <c r="E130" s="4" t="str">
        <f>IFERROR(IF(VALUE(tblRace2025[[#This Row],[Position]])=1,"Yes","No"),"No")</f>
        <v>No</v>
      </c>
    </row>
    <row r="131" spans="1:5" x14ac:dyDescent="0.45">
      <c r="A131" s="8">
        <v>2025</v>
      </c>
      <c r="B131" s="7" t="s">
        <v>66</v>
      </c>
      <c r="C131" s="8" t="s">
        <v>20</v>
      </c>
      <c r="D131" s="8">
        <v>1</v>
      </c>
      <c r="E131" s="8" t="str">
        <f>IFERROR(IF(VALUE(tblRace2025[[#This Row],[Position]])=1,"Yes","No"),"No")</f>
        <v>No</v>
      </c>
    </row>
    <row r="132" spans="1:5" x14ac:dyDescent="0.45">
      <c r="A132" s="4">
        <v>2025</v>
      </c>
      <c r="B132" s="6" t="s">
        <v>85</v>
      </c>
      <c r="C132" s="4" t="s">
        <v>39</v>
      </c>
      <c r="D132" s="4">
        <v>0</v>
      </c>
      <c r="E132" s="4" t="str">
        <f>IFERROR(IF(VALUE(tblRace2025[[#This Row],[Position]])=1,"Yes","No"),"No")</f>
        <v>No</v>
      </c>
    </row>
    <row r="133" spans="1:5" x14ac:dyDescent="0.45">
      <c r="A133" s="8">
        <v>2025</v>
      </c>
      <c r="B133" s="7" t="s">
        <v>43</v>
      </c>
      <c r="C133" s="8" t="s">
        <v>44</v>
      </c>
      <c r="D133" s="8">
        <v>0</v>
      </c>
      <c r="E133" s="8" t="str">
        <f>IFERROR(IF(VALUE(tblRace2025[[#This Row],[Position]])=1,"Yes","No"),"No")</f>
        <v>No</v>
      </c>
    </row>
    <row r="134" spans="1:5" x14ac:dyDescent="0.45">
      <c r="A134" s="4">
        <v>2025</v>
      </c>
      <c r="B134" s="6" t="s">
        <v>61</v>
      </c>
      <c r="C134" s="4" t="s">
        <v>62</v>
      </c>
      <c r="D134" s="4">
        <v>0</v>
      </c>
      <c r="E134" s="4" t="str">
        <f>IFERROR(IF(VALUE(tblRace2025[[#This Row],[Position]])=1,"Yes","No"),"No")</f>
        <v>No</v>
      </c>
    </row>
    <row r="135" spans="1:5" x14ac:dyDescent="0.45">
      <c r="A135" s="8">
        <v>2025</v>
      </c>
      <c r="B135" s="7" t="s">
        <v>80</v>
      </c>
      <c r="C135" s="8" t="s">
        <v>67</v>
      </c>
      <c r="D135" s="8">
        <v>0</v>
      </c>
      <c r="E135" s="8" t="str">
        <f>IFERROR(IF(VALUE(tblRace2025[[#This Row],[Position]])=1,"Yes","No"),"No")</f>
        <v>No</v>
      </c>
    </row>
    <row r="136" spans="1:5" x14ac:dyDescent="0.45">
      <c r="A136" s="4">
        <v>2025</v>
      </c>
      <c r="B136" s="6" t="s">
        <v>38</v>
      </c>
      <c r="C136" s="4" t="s">
        <v>39</v>
      </c>
      <c r="D136" s="4">
        <v>0</v>
      </c>
      <c r="E136" s="4" t="str">
        <f>IFERROR(IF(VALUE(tblRace2025[[#This Row],[Position]])=1,"Yes","No"),"No")</f>
        <v>No</v>
      </c>
    </row>
    <row r="137" spans="1:5" x14ac:dyDescent="0.45">
      <c r="A137" s="8">
        <v>2025</v>
      </c>
      <c r="B137" s="7" t="s">
        <v>308</v>
      </c>
      <c r="C137" s="8" t="s">
        <v>62</v>
      </c>
      <c r="D137" s="8">
        <v>0</v>
      </c>
      <c r="E137" s="8" t="str">
        <f>IFERROR(IF(VALUE(tblRace2025[[#This Row],[Position]])=1,"Yes","No"),"No")</f>
        <v>No</v>
      </c>
    </row>
    <row r="138" spans="1:5" x14ac:dyDescent="0.45">
      <c r="A138" s="4">
        <v>2025</v>
      </c>
      <c r="B138" s="6" t="s">
        <v>76</v>
      </c>
      <c r="C138" s="4" t="s">
        <v>72</v>
      </c>
      <c r="D138" s="4">
        <v>0</v>
      </c>
      <c r="E138" s="4" t="str">
        <f>IFERROR(IF(VALUE(tblRace2025[[#This Row],[Position]])=1,"Yes","No"),"No")</f>
        <v>No</v>
      </c>
    </row>
    <row r="139" spans="1:5" x14ac:dyDescent="0.45">
      <c r="A139" s="8">
        <v>2025</v>
      </c>
      <c r="B139" s="7" t="s">
        <v>83</v>
      </c>
      <c r="C139" s="8" t="s">
        <v>44</v>
      </c>
      <c r="D139" s="8">
        <v>0</v>
      </c>
      <c r="E139" s="8" t="str">
        <f>IFERROR(IF(VALUE(tblRace2025[[#This Row],[Position]])=1,"Yes","No"),"No")</f>
        <v>No</v>
      </c>
    </row>
    <row r="140" spans="1:5" x14ac:dyDescent="0.45">
      <c r="A140" s="4">
        <v>2025</v>
      </c>
      <c r="B140" s="6" t="s">
        <v>29</v>
      </c>
      <c r="C140" s="4" t="s">
        <v>25</v>
      </c>
      <c r="D140" s="4">
        <v>0</v>
      </c>
      <c r="E140" s="4" t="str">
        <f>IFERROR(IF(VALUE(tblRace2025[[#This Row],[Position]])=1,"Yes","No"),"No")</f>
        <v>No</v>
      </c>
    </row>
    <row r="141" spans="1:5" x14ac:dyDescent="0.45">
      <c r="A141" s="8">
        <v>2025</v>
      </c>
      <c r="B141" s="7" t="s">
        <v>71</v>
      </c>
      <c r="C141" s="8" t="s">
        <v>72</v>
      </c>
      <c r="D141" s="8">
        <v>0</v>
      </c>
      <c r="E141" s="8" t="str">
        <f>IFERROR(IF(VALUE(tblRace2025[[#This Row],[Position]])=1,"Yes","No"),"No")</f>
        <v>No</v>
      </c>
    </row>
    <row r="142" spans="1:5" x14ac:dyDescent="0.45">
      <c r="A142" s="4">
        <v>2025</v>
      </c>
      <c r="B142" s="6" t="s">
        <v>13</v>
      </c>
      <c r="C142" s="4" t="s">
        <v>14</v>
      </c>
      <c r="D142" s="4">
        <v>25</v>
      </c>
      <c r="E142" s="4" t="str">
        <f>IFERROR(IF(VALUE(tblRace2025[[#This Row],[Position]])=1,"Yes","No"),"No")</f>
        <v>Yes</v>
      </c>
    </row>
    <row r="143" spans="1:5" x14ac:dyDescent="0.45">
      <c r="A143" s="8">
        <v>2025</v>
      </c>
      <c r="B143" s="7" t="s">
        <v>48</v>
      </c>
      <c r="C143" s="8" t="s">
        <v>49</v>
      </c>
      <c r="D143" s="8">
        <v>18</v>
      </c>
      <c r="E143" s="8" t="str">
        <f>IFERROR(IF(VALUE(tblRace2025[[#This Row],[Position]])=1,"Yes","No"),"No")</f>
        <v>No</v>
      </c>
    </row>
    <row r="144" spans="1:5" x14ac:dyDescent="0.45">
      <c r="A144" s="4">
        <v>2025</v>
      </c>
      <c r="B144" s="6" t="s">
        <v>53</v>
      </c>
      <c r="C144" s="4" t="s">
        <v>14</v>
      </c>
      <c r="D144" s="4">
        <v>15</v>
      </c>
      <c r="E144" s="4" t="str">
        <f>IFERROR(IF(VALUE(tblRace2025[[#This Row],[Position]])=1,"Yes","No"),"No")</f>
        <v>No</v>
      </c>
    </row>
    <row r="145" spans="1:5" x14ac:dyDescent="0.45">
      <c r="A145" s="8">
        <v>2025</v>
      </c>
      <c r="B145" s="7" t="s">
        <v>19</v>
      </c>
      <c r="C145" s="8" t="s">
        <v>20</v>
      </c>
      <c r="D145" s="8">
        <v>12</v>
      </c>
      <c r="E145" s="8" t="str">
        <f>IFERROR(IF(VALUE(tblRace2025[[#This Row],[Position]])=1,"Yes","No"),"No")</f>
        <v>No</v>
      </c>
    </row>
    <row r="146" spans="1:5" x14ac:dyDescent="0.45">
      <c r="A146" s="4">
        <v>2025</v>
      </c>
      <c r="B146" s="6" t="s">
        <v>57</v>
      </c>
      <c r="C146" s="4" t="s">
        <v>49</v>
      </c>
      <c r="D146" s="4">
        <v>10</v>
      </c>
      <c r="E146" s="4" t="str">
        <f>IFERROR(IF(VALUE(tblRace2025[[#This Row],[Position]])=1,"Yes","No"),"No")</f>
        <v>No</v>
      </c>
    </row>
    <row r="147" spans="1:5" x14ac:dyDescent="0.45">
      <c r="A147" s="8">
        <v>2025</v>
      </c>
      <c r="B147" s="7" t="s">
        <v>90</v>
      </c>
      <c r="C147" s="8" t="s">
        <v>67</v>
      </c>
      <c r="D147" s="8">
        <v>8</v>
      </c>
      <c r="E147" s="8" t="str">
        <f>IFERROR(IF(VALUE(tblRace2025[[#This Row],[Position]])=1,"Yes","No"),"No")</f>
        <v>No</v>
      </c>
    </row>
    <row r="148" spans="1:5" x14ac:dyDescent="0.45">
      <c r="A148" s="4">
        <v>2025</v>
      </c>
      <c r="B148" s="6" t="s">
        <v>71</v>
      </c>
      <c r="C148" s="4" t="s">
        <v>72</v>
      </c>
      <c r="D148" s="4">
        <v>6</v>
      </c>
      <c r="E148" s="4" t="str">
        <f>IFERROR(IF(VALUE(tblRace2025[[#This Row],[Position]])=1,"Yes","No"),"No")</f>
        <v>No</v>
      </c>
    </row>
    <row r="149" spans="1:5" x14ac:dyDescent="0.45">
      <c r="A149" s="8">
        <v>2025</v>
      </c>
      <c r="B149" s="7" t="s">
        <v>80</v>
      </c>
      <c r="C149" s="8" t="s">
        <v>67</v>
      </c>
      <c r="D149" s="8">
        <v>4</v>
      </c>
      <c r="E149" s="8" t="str">
        <f>IFERROR(IF(VALUE(tblRace2025[[#This Row],[Position]])=1,"Yes","No"),"No")</f>
        <v>No</v>
      </c>
    </row>
    <row r="150" spans="1:5" x14ac:dyDescent="0.45">
      <c r="A150" s="4">
        <v>2025</v>
      </c>
      <c r="B150" s="6" t="s">
        <v>33</v>
      </c>
      <c r="C150" s="4" t="s">
        <v>34</v>
      </c>
      <c r="D150" s="4">
        <v>2</v>
      </c>
      <c r="E150" s="4" t="str">
        <f>IFERROR(IF(VALUE(tblRace2025[[#This Row],[Position]])=1,"Yes","No"),"No")</f>
        <v>No</v>
      </c>
    </row>
    <row r="151" spans="1:5" x14ac:dyDescent="0.45">
      <c r="A151" s="8">
        <v>2025</v>
      </c>
      <c r="B151" s="7" t="s">
        <v>87</v>
      </c>
      <c r="C151" s="8" t="s">
        <v>34</v>
      </c>
      <c r="D151" s="8">
        <v>1</v>
      </c>
      <c r="E151" s="8" t="str">
        <f>IFERROR(IF(VALUE(tblRace2025[[#This Row],[Position]])=1,"Yes","No"),"No")</f>
        <v>No</v>
      </c>
    </row>
    <row r="152" spans="1:5" x14ac:dyDescent="0.45">
      <c r="A152" s="4">
        <v>2025</v>
      </c>
      <c r="B152" s="6" t="s">
        <v>24</v>
      </c>
      <c r="C152" s="4" t="s">
        <v>25</v>
      </c>
      <c r="D152" s="4">
        <v>0</v>
      </c>
      <c r="E152" s="4" t="str">
        <f>IFERROR(IF(VALUE(tblRace2025[[#This Row],[Position]])=1,"Yes","No"),"No")</f>
        <v>No</v>
      </c>
    </row>
    <row r="153" spans="1:5" x14ac:dyDescent="0.45">
      <c r="A153" s="8">
        <v>2025</v>
      </c>
      <c r="B153" s="7" t="s">
        <v>76</v>
      </c>
      <c r="C153" s="8" t="s">
        <v>72</v>
      </c>
      <c r="D153" s="8">
        <v>0</v>
      </c>
      <c r="E153" s="8" t="str">
        <f>IFERROR(IF(VALUE(tblRace2025[[#This Row],[Position]])=1,"Yes","No"),"No")</f>
        <v>No</v>
      </c>
    </row>
    <row r="154" spans="1:5" x14ac:dyDescent="0.45">
      <c r="A154" s="4">
        <v>2025</v>
      </c>
      <c r="B154" s="6" t="s">
        <v>308</v>
      </c>
      <c r="C154" s="4" t="s">
        <v>62</v>
      </c>
      <c r="D154" s="4">
        <v>0</v>
      </c>
      <c r="E154" s="4" t="str">
        <f>IFERROR(IF(VALUE(tblRace2025[[#This Row],[Position]])=1,"Yes","No"),"No")</f>
        <v>No</v>
      </c>
    </row>
    <row r="155" spans="1:5" x14ac:dyDescent="0.45">
      <c r="A155" s="8">
        <v>2025</v>
      </c>
      <c r="B155" s="7" t="s">
        <v>83</v>
      </c>
      <c r="C155" s="8" t="s">
        <v>44</v>
      </c>
      <c r="D155" s="8">
        <v>0</v>
      </c>
      <c r="E155" s="8" t="str">
        <f>IFERROR(IF(VALUE(tblRace2025[[#This Row],[Position]])=1,"Yes","No"),"No")</f>
        <v>No</v>
      </c>
    </row>
    <row r="156" spans="1:5" x14ac:dyDescent="0.45">
      <c r="A156" s="4">
        <v>2025</v>
      </c>
      <c r="B156" s="6" t="s">
        <v>38</v>
      </c>
      <c r="C156" s="4" t="s">
        <v>39</v>
      </c>
      <c r="D156" s="4">
        <v>0</v>
      </c>
      <c r="E156" s="4" t="str">
        <f>IFERROR(IF(VALUE(tblRace2025[[#This Row],[Position]])=1,"Yes","No"),"No")</f>
        <v>No</v>
      </c>
    </row>
    <row r="157" spans="1:5" x14ac:dyDescent="0.45">
      <c r="A157" s="8">
        <v>2025</v>
      </c>
      <c r="B157" s="7" t="s">
        <v>43</v>
      </c>
      <c r="C157" s="8" t="s">
        <v>44</v>
      </c>
      <c r="D157" s="8">
        <v>0</v>
      </c>
      <c r="E157" s="8" t="str">
        <f>IFERROR(IF(VALUE(tblRace2025[[#This Row],[Position]])=1,"Yes","No"),"No")</f>
        <v>No</v>
      </c>
    </row>
    <row r="158" spans="1:5" x14ac:dyDescent="0.45">
      <c r="A158" s="4">
        <v>2025</v>
      </c>
      <c r="B158" s="6" t="s">
        <v>66</v>
      </c>
      <c r="C158" s="4" t="s">
        <v>20</v>
      </c>
      <c r="D158" s="4">
        <v>0</v>
      </c>
      <c r="E158" s="4" t="str">
        <f>IFERROR(IF(VALUE(tblRace2025[[#This Row],[Position]])=1,"Yes","No"),"No")</f>
        <v>No</v>
      </c>
    </row>
    <row r="159" spans="1:5" x14ac:dyDescent="0.45">
      <c r="A159" s="8">
        <v>2025</v>
      </c>
      <c r="B159" s="7" t="s">
        <v>29</v>
      </c>
      <c r="C159" s="8" t="s">
        <v>25</v>
      </c>
      <c r="D159" s="8">
        <v>0</v>
      </c>
      <c r="E159" s="8" t="str">
        <f>IFERROR(IF(VALUE(tblRace2025[[#This Row],[Position]])=1,"Yes","No"),"No")</f>
        <v>No</v>
      </c>
    </row>
    <row r="160" spans="1:5" x14ac:dyDescent="0.45">
      <c r="A160" s="4">
        <v>2025</v>
      </c>
      <c r="B160" s="6" t="s">
        <v>85</v>
      </c>
      <c r="C160" s="4" t="s">
        <v>39</v>
      </c>
      <c r="D160" s="4">
        <v>0</v>
      </c>
      <c r="E160" s="4" t="str">
        <f>IFERROR(IF(VALUE(tblRace2025[[#This Row],[Position]])=1,"Yes","No"),"No")</f>
        <v>No</v>
      </c>
    </row>
    <row r="161" spans="1:5" x14ac:dyDescent="0.45">
      <c r="A161" s="8">
        <v>2025</v>
      </c>
      <c r="B161" s="7" t="s">
        <v>61</v>
      </c>
      <c r="C161" s="8" t="s">
        <v>62</v>
      </c>
      <c r="D161" s="8">
        <v>0</v>
      </c>
      <c r="E161" s="8" t="str">
        <f>IFERROR(IF(VALUE(tblRace2025[[#This Row],[Position]])=1,"Yes","No"),"No")</f>
        <v>No</v>
      </c>
    </row>
    <row r="162" spans="1:5" x14ac:dyDescent="0.45">
      <c r="A162" s="4">
        <v>2025</v>
      </c>
      <c r="B162" s="6" t="s">
        <v>53</v>
      </c>
      <c r="C162" s="4" t="s">
        <v>14</v>
      </c>
      <c r="D162" s="4">
        <v>25</v>
      </c>
      <c r="E162" s="4" t="str">
        <f>IFERROR(IF(VALUE(tblRace2025[[#This Row],[Position]])=1,"Yes","No"),"No")</f>
        <v>Yes</v>
      </c>
    </row>
    <row r="163" spans="1:5" x14ac:dyDescent="0.45">
      <c r="A163" s="8">
        <v>2025</v>
      </c>
      <c r="B163" s="7" t="s">
        <v>13</v>
      </c>
      <c r="C163" s="8" t="s">
        <v>14</v>
      </c>
      <c r="D163" s="8">
        <v>18</v>
      </c>
      <c r="E163" s="8" t="str">
        <f>IFERROR(IF(VALUE(tblRace2025[[#This Row],[Position]])=1,"Yes","No"),"No")</f>
        <v>No</v>
      </c>
    </row>
    <row r="164" spans="1:5" x14ac:dyDescent="0.45">
      <c r="A164" s="4">
        <v>2025</v>
      </c>
      <c r="B164" s="6" t="s">
        <v>48</v>
      </c>
      <c r="C164" s="4" t="s">
        <v>49</v>
      </c>
      <c r="D164" s="4">
        <v>15</v>
      </c>
      <c r="E164" s="4" t="str">
        <f>IFERROR(IF(VALUE(tblRace2025[[#This Row],[Position]])=1,"Yes","No"),"No")</f>
        <v>No</v>
      </c>
    </row>
    <row r="165" spans="1:5" x14ac:dyDescent="0.45">
      <c r="A165" s="8">
        <v>2025</v>
      </c>
      <c r="B165" s="7" t="s">
        <v>24</v>
      </c>
      <c r="C165" s="8" t="s">
        <v>25</v>
      </c>
      <c r="D165" s="8">
        <v>12</v>
      </c>
      <c r="E165" s="8" t="str">
        <f>IFERROR(IF(VALUE(tblRace2025[[#This Row],[Position]])=1,"Yes","No"),"No")</f>
        <v>No</v>
      </c>
    </row>
    <row r="166" spans="1:5" x14ac:dyDescent="0.45">
      <c r="A166" s="4">
        <v>2025</v>
      </c>
      <c r="B166" s="6" t="s">
        <v>43</v>
      </c>
      <c r="C166" s="4" t="s">
        <v>44</v>
      </c>
      <c r="D166" s="4">
        <v>10</v>
      </c>
      <c r="E166" s="4" t="str">
        <f>IFERROR(IF(VALUE(tblRace2025[[#This Row],[Position]])=1,"Yes","No"),"No")</f>
        <v>No</v>
      </c>
    </row>
    <row r="167" spans="1:5" x14ac:dyDescent="0.45">
      <c r="A167" s="8">
        <v>2025</v>
      </c>
      <c r="B167" s="7" t="s">
        <v>57</v>
      </c>
      <c r="C167" s="8" t="s">
        <v>49</v>
      </c>
      <c r="D167" s="8">
        <v>8</v>
      </c>
      <c r="E167" s="8" t="str">
        <f>IFERROR(IF(VALUE(tblRace2025[[#This Row],[Position]])=1,"Yes","No"),"No")</f>
        <v>No</v>
      </c>
    </row>
    <row r="168" spans="1:5" x14ac:dyDescent="0.45">
      <c r="A168" s="4">
        <v>2025</v>
      </c>
      <c r="B168" s="6" t="s">
        <v>90</v>
      </c>
      <c r="C168" s="4" t="s">
        <v>67</v>
      </c>
      <c r="D168" s="4">
        <v>6</v>
      </c>
      <c r="E168" s="4" t="str">
        <f>IFERROR(IF(VALUE(tblRace2025[[#This Row],[Position]])=1,"Yes","No"),"No")</f>
        <v>No</v>
      </c>
    </row>
    <row r="169" spans="1:5" x14ac:dyDescent="0.45">
      <c r="A169" s="8">
        <v>2025</v>
      </c>
      <c r="B169" s="7" t="s">
        <v>61</v>
      </c>
      <c r="C169" s="8" t="s">
        <v>62</v>
      </c>
      <c r="D169" s="8">
        <v>4</v>
      </c>
      <c r="E169" s="8" t="str">
        <f>IFERROR(IF(VALUE(tblRace2025[[#This Row],[Position]])=1,"Yes","No"),"No")</f>
        <v>No</v>
      </c>
    </row>
    <row r="170" spans="1:5" x14ac:dyDescent="0.45">
      <c r="A170" s="4">
        <v>2025</v>
      </c>
      <c r="B170" s="6" t="s">
        <v>85</v>
      </c>
      <c r="C170" s="4" t="s">
        <v>39</v>
      </c>
      <c r="D170" s="4">
        <v>2</v>
      </c>
      <c r="E170" s="4" t="str">
        <f>IFERROR(IF(VALUE(tblRace2025[[#This Row],[Position]])=1,"Yes","No"),"No")</f>
        <v>No</v>
      </c>
    </row>
    <row r="171" spans="1:5" x14ac:dyDescent="0.45">
      <c r="A171" s="8">
        <v>2025</v>
      </c>
      <c r="B171" s="7" t="s">
        <v>19</v>
      </c>
      <c r="C171" s="8" t="s">
        <v>20</v>
      </c>
      <c r="D171" s="8">
        <v>1</v>
      </c>
      <c r="E171" s="8" t="str">
        <f>IFERROR(IF(VALUE(tblRace2025[[#This Row],[Position]])=1,"Yes","No"),"No")</f>
        <v>No</v>
      </c>
    </row>
    <row r="172" spans="1:5" x14ac:dyDescent="0.45">
      <c r="A172" s="4">
        <v>2025</v>
      </c>
      <c r="B172" s="6" t="s">
        <v>80</v>
      </c>
      <c r="C172" s="4" t="s">
        <v>67</v>
      </c>
      <c r="D172" s="4">
        <v>0</v>
      </c>
      <c r="E172" s="4" t="str">
        <f>IFERROR(IF(VALUE(tblRace2025[[#This Row],[Position]])=1,"Yes","No"),"No")</f>
        <v>No</v>
      </c>
    </row>
    <row r="173" spans="1:5" x14ac:dyDescent="0.45">
      <c r="A173" s="8">
        <v>2025</v>
      </c>
      <c r="B173" s="7" t="s">
        <v>83</v>
      </c>
      <c r="C173" s="8" t="s">
        <v>44</v>
      </c>
      <c r="D173" s="8">
        <v>0</v>
      </c>
      <c r="E173" s="8" t="str">
        <f>IFERROR(IF(VALUE(tblRace2025[[#This Row],[Position]])=1,"Yes","No"),"No")</f>
        <v>No</v>
      </c>
    </row>
    <row r="174" spans="1:5" x14ac:dyDescent="0.45">
      <c r="A174" s="4">
        <v>2025</v>
      </c>
      <c r="B174" s="6" t="s">
        <v>66</v>
      </c>
      <c r="C174" s="4" t="s">
        <v>20</v>
      </c>
      <c r="D174" s="4">
        <v>0</v>
      </c>
      <c r="E174" s="4" t="str">
        <f>IFERROR(IF(VALUE(tblRace2025[[#This Row],[Position]])=1,"Yes","No"),"No")</f>
        <v>No</v>
      </c>
    </row>
    <row r="175" spans="1:5" x14ac:dyDescent="0.45">
      <c r="A175" s="8">
        <v>2025</v>
      </c>
      <c r="B175" s="7" t="s">
        <v>87</v>
      </c>
      <c r="C175" s="8" t="s">
        <v>34</v>
      </c>
      <c r="D175" s="8">
        <v>0</v>
      </c>
      <c r="E175" s="8" t="str">
        <f>IFERROR(IF(VALUE(tblRace2025[[#This Row],[Position]])=1,"Yes","No"),"No")</f>
        <v>No</v>
      </c>
    </row>
    <row r="176" spans="1:5" x14ac:dyDescent="0.45">
      <c r="A176" s="4">
        <v>2025</v>
      </c>
      <c r="B176" s="6" t="s">
        <v>308</v>
      </c>
      <c r="C176" s="4" t="s">
        <v>62</v>
      </c>
      <c r="D176" s="4">
        <v>0</v>
      </c>
      <c r="E176" s="4" t="str">
        <f>IFERROR(IF(VALUE(tblRace2025[[#This Row],[Position]])=1,"Yes","No"),"No")</f>
        <v>No</v>
      </c>
    </row>
    <row r="177" spans="1:5" x14ac:dyDescent="0.45">
      <c r="A177" s="8">
        <v>2025</v>
      </c>
      <c r="B177" s="7" t="s">
        <v>71</v>
      </c>
      <c r="C177" s="8" t="s">
        <v>72</v>
      </c>
      <c r="D177" s="8">
        <v>0</v>
      </c>
      <c r="E177" s="8" t="str">
        <f>IFERROR(IF(VALUE(tblRace2025[[#This Row],[Position]])=1,"Yes","No"),"No")</f>
        <v>No</v>
      </c>
    </row>
    <row r="178" spans="1:5" x14ac:dyDescent="0.45">
      <c r="A178" s="4">
        <v>2025</v>
      </c>
      <c r="B178" s="6" t="s">
        <v>76</v>
      </c>
      <c r="C178" s="4" t="s">
        <v>72</v>
      </c>
      <c r="D178" s="4">
        <v>0</v>
      </c>
      <c r="E178" s="4" t="str">
        <f>IFERROR(IF(VALUE(tblRace2025[[#This Row],[Position]])=1,"Yes","No"),"No")</f>
        <v>No</v>
      </c>
    </row>
    <row r="179" spans="1:5" x14ac:dyDescent="0.45">
      <c r="A179" s="8">
        <v>2025</v>
      </c>
      <c r="B179" s="7" t="s">
        <v>29</v>
      </c>
      <c r="C179" s="8" t="s">
        <v>25</v>
      </c>
      <c r="D179" s="8">
        <v>0</v>
      </c>
      <c r="E179" s="8" t="str">
        <f>IFERROR(IF(VALUE(tblRace2025[[#This Row],[Position]])=1,"Yes","No"),"No")</f>
        <v>No</v>
      </c>
    </row>
    <row r="180" spans="1:5" x14ac:dyDescent="0.45">
      <c r="A180" s="4">
        <v>2025</v>
      </c>
      <c r="B180" s="6" t="s">
        <v>33</v>
      </c>
      <c r="C180" s="4" t="s">
        <v>34</v>
      </c>
      <c r="D180" s="4">
        <v>0</v>
      </c>
      <c r="E180" s="4" t="str">
        <f>IFERROR(IF(VALUE(tblRace2025[[#This Row],[Position]])=1,"Yes","No"),"No")</f>
        <v>No</v>
      </c>
    </row>
    <row r="181" spans="1:5" x14ac:dyDescent="0.45">
      <c r="A181" s="8">
        <v>2024</v>
      </c>
      <c r="B181" s="8" t="s">
        <v>19</v>
      </c>
      <c r="C181" s="8" t="s">
        <v>20</v>
      </c>
      <c r="D181" s="8">
        <v>26</v>
      </c>
      <c r="E181" s="8" t="s">
        <v>16</v>
      </c>
    </row>
    <row r="182" spans="1:5" x14ac:dyDescent="0.45">
      <c r="A182" s="5">
        <v>2024</v>
      </c>
      <c r="B182" s="5" t="s">
        <v>955</v>
      </c>
      <c r="C182" s="5" t="s">
        <v>20</v>
      </c>
      <c r="D182" s="5">
        <v>18</v>
      </c>
      <c r="E182" s="5" t="s">
        <v>2</v>
      </c>
    </row>
    <row r="183" spans="1:5" x14ac:dyDescent="0.45">
      <c r="A183" s="5">
        <v>2024</v>
      </c>
      <c r="B183" s="5" t="s">
        <v>87</v>
      </c>
      <c r="C183" s="5" t="s">
        <v>49</v>
      </c>
      <c r="D183" s="5">
        <v>15</v>
      </c>
      <c r="E183" s="5" t="s">
        <v>2</v>
      </c>
    </row>
    <row r="184" spans="1:5" x14ac:dyDescent="0.45">
      <c r="A184" s="5">
        <v>2024</v>
      </c>
      <c r="B184" s="5" t="s">
        <v>48</v>
      </c>
      <c r="C184" s="5" t="s">
        <v>49</v>
      </c>
      <c r="D184" s="5">
        <v>12</v>
      </c>
      <c r="E184" s="5" t="s">
        <v>2</v>
      </c>
    </row>
    <row r="185" spans="1:5" x14ac:dyDescent="0.45">
      <c r="A185" s="5">
        <v>2024</v>
      </c>
      <c r="B185" s="5" t="s">
        <v>24</v>
      </c>
      <c r="C185" s="5" t="s">
        <v>25</v>
      </c>
      <c r="D185" s="5">
        <v>10</v>
      </c>
      <c r="E185" s="5" t="s">
        <v>2</v>
      </c>
    </row>
    <row r="186" spans="1:5" x14ac:dyDescent="0.45">
      <c r="A186" s="5">
        <v>2024</v>
      </c>
      <c r="B186" s="5" t="s">
        <v>13</v>
      </c>
      <c r="C186" s="5" t="s">
        <v>14</v>
      </c>
      <c r="D186" s="5">
        <v>8</v>
      </c>
      <c r="E186" s="5" t="s">
        <v>2</v>
      </c>
    </row>
    <row r="187" spans="1:5" x14ac:dyDescent="0.45">
      <c r="A187" s="5">
        <v>2024</v>
      </c>
      <c r="B187" s="5" t="s">
        <v>57</v>
      </c>
      <c r="C187" s="5" t="s">
        <v>25</v>
      </c>
      <c r="D187" s="5">
        <v>6</v>
      </c>
      <c r="E187" s="5" t="s">
        <v>2</v>
      </c>
    </row>
    <row r="188" spans="1:5" x14ac:dyDescent="0.45">
      <c r="A188" s="5">
        <v>2024</v>
      </c>
      <c r="B188" s="5" t="s">
        <v>53</v>
      </c>
      <c r="C188" s="5" t="s">
        <v>14</v>
      </c>
      <c r="D188" s="5">
        <v>4</v>
      </c>
      <c r="E188" s="5" t="s">
        <v>2</v>
      </c>
    </row>
    <row r="189" spans="1:5" x14ac:dyDescent="0.45">
      <c r="A189" s="5">
        <v>2024</v>
      </c>
      <c r="B189" s="5" t="s">
        <v>85</v>
      </c>
      <c r="C189" s="5" t="s">
        <v>39</v>
      </c>
      <c r="D189" s="5">
        <v>2</v>
      </c>
      <c r="E189" s="5" t="s">
        <v>2</v>
      </c>
    </row>
    <row r="190" spans="1:5" x14ac:dyDescent="0.45">
      <c r="A190" s="5">
        <v>2024</v>
      </c>
      <c r="B190" s="5" t="s">
        <v>38</v>
      </c>
      <c r="C190" s="5" t="s">
        <v>39</v>
      </c>
      <c r="D190" s="5">
        <v>1</v>
      </c>
      <c r="E190" s="5" t="s">
        <v>2</v>
      </c>
    </row>
    <row r="191" spans="1:5" x14ac:dyDescent="0.45">
      <c r="A191" s="5">
        <v>2024</v>
      </c>
      <c r="B191" s="5" t="s">
        <v>974</v>
      </c>
      <c r="C191" s="5" t="s">
        <v>44</v>
      </c>
      <c r="D191" s="5">
        <v>0</v>
      </c>
      <c r="E191" s="5" t="s">
        <v>2</v>
      </c>
    </row>
    <row r="192" spans="1:5" x14ac:dyDescent="0.45">
      <c r="A192" s="5">
        <v>2024</v>
      </c>
      <c r="B192" s="5" t="s">
        <v>976</v>
      </c>
      <c r="C192" s="5" t="s">
        <v>72</v>
      </c>
      <c r="D192" s="5">
        <v>0</v>
      </c>
      <c r="E192" s="5" t="s">
        <v>2</v>
      </c>
    </row>
    <row r="193" spans="1:5" x14ac:dyDescent="0.45">
      <c r="A193" s="5">
        <v>2024</v>
      </c>
      <c r="B193" s="5" t="s">
        <v>978</v>
      </c>
      <c r="C193" s="5" t="s">
        <v>979</v>
      </c>
      <c r="D193" s="5">
        <v>0</v>
      </c>
      <c r="E193" s="5" t="s">
        <v>2</v>
      </c>
    </row>
    <row r="194" spans="1:5" x14ac:dyDescent="0.45">
      <c r="A194" s="5">
        <v>2024</v>
      </c>
      <c r="B194" s="5" t="s">
        <v>66</v>
      </c>
      <c r="C194" s="5" t="s">
        <v>979</v>
      </c>
      <c r="D194" s="5">
        <v>0</v>
      </c>
      <c r="E194" s="5" t="s">
        <v>2</v>
      </c>
    </row>
    <row r="195" spans="1:5" x14ac:dyDescent="0.45">
      <c r="A195" s="5">
        <v>2024</v>
      </c>
      <c r="B195" s="5" t="s">
        <v>33</v>
      </c>
      <c r="C195" s="5" t="s">
        <v>34</v>
      </c>
      <c r="D195" s="5">
        <v>0</v>
      </c>
      <c r="E195" s="5" t="s">
        <v>2</v>
      </c>
    </row>
    <row r="196" spans="1:5" x14ac:dyDescent="0.45">
      <c r="A196" s="5">
        <v>2024</v>
      </c>
      <c r="B196" s="5" t="s">
        <v>43</v>
      </c>
      <c r="C196" s="5" t="s">
        <v>72</v>
      </c>
      <c r="D196" s="5">
        <v>0</v>
      </c>
      <c r="E196" s="5" t="s">
        <v>2</v>
      </c>
    </row>
    <row r="197" spans="1:5" x14ac:dyDescent="0.45">
      <c r="A197" s="5">
        <v>2024</v>
      </c>
      <c r="B197" s="5" t="s">
        <v>71</v>
      </c>
      <c r="C197" s="5" t="s">
        <v>62</v>
      </c>
      <c r="D197" s="5">
        <v>0</v>
      </c>
      <c r="E197" s="5" t="s">
        <v>2</v>
      </c>
    </row>
    <row r="198" spans="1:5" x14ac:dyDescent="0.45">
      <c r="A198" s="5">
        <v>2024</v>
      </c>
      <c r="B198" s="5" t="s">
        <v>61</v>
      </c>
      <c r="C198" s="5" t="s">
        <v>62</v>
      </c>
      <c r="D198" s="5">
        <v>0</v>
      </c>
      <c r="E198" s="5" t="s">
        <v>2</v>
      </c>
    </row>
    <row r="199" spans="1:5" x14ac:dyDescent="0.45">
      <c r="A199" s="5">
        <v>2024</v>
      </c>
      <c r="B199" s="5" t="s">
        <v>986</v>
      </c>
      <c r="C199" s="5" t="s">
        <v>44</v>
      </c>
      <c r="D199" s="5">
        <v>0</v>
      </c>
      <c r="E199" s="5" t="s">
        <v>2</v>
      </c>
    </row>
    <row r="200" spans="1:5" x14ac:dyDescent="0.45">
      <c r="A200" s="5">
        <v>2024</v>
      </c>
      <c r="B200" s="5" t="s">
        <v>988</v>
      </c>
      <c r="C200" s="5" t="s">
        <v>34</v>
      </c>
      <c r="D200" s="5">
        <v>0</v>
      </c>
      <c r="E200" s="5" t="s">
        <v>2</v>
      </c>
    </row>
    <row r="201" spans="1:5" x14ac:dyDescent="0.45">
      <c r="A201" s="5">
        <v>2024</v>
      </c>
      <c r="B201" s="5" t="s">
        <v>19</v>
      </c>
      <c r="C201" s="5" t="s">
        <v>20</v>
      </c>
      <c r="D201" s="5">
        <v>25</v>
      </c>
      <c r="E201" s="5" t="s">
        <v>16</v>
      </c>
    </row>
    <row r="202" spans="1:5" x14ac:dyDescent="0.45">
      <c r="A202" s="5">
        <v>2024</v>
      </c>
      <c r="B202" s="5" t="s">
        <v>955</v>
      </c>
      <c r="C202" s="5" t="s">
        <v>20</v>
      </c>
      <c r="D202" s="5">
        <v>18</v>
      </c>
      <c r="E202" s="5" t="s">
        <v>2</v>
      </c>
    </row>
    <row r="203" spans="1:5" x14ac:dyDescent="0.45">
      <c r="A203" s="5">
        <v>2024</v>
      </c>
      <c r="B203" s="5" t="s">
        <v>48</v>
      </c>
      <c r="C203" s="5" t="s">
        <v>49</v>
      </c>
      <c r="D203" s="5">
        <v>16</v>
      </c>
      <c r="E203" s="5" t="s">
        <v>2</v>
      </c>
    </row>
    <row r="204" spans="1:5" x14ac:dyDescent="0.45">
      <c r="A204" s="5">
        <v>2024</v>
      </c>
      <c r="B204" s="5" t="s">
        <v>53</v>
      </c>
      <c r="C204" s="5" t="s">
        <v>14</v>
      </c>
      <c r="D204" s="5">
        <v>12</v>
      </c>
      <c r="E204" s="5" t="s">
        <v>2</v>
      </c>
    </row>
    <row r="205" spans="1:5" x14ac:dyDescent="0.45">
      <c r="A205" s="5">
        <v>2024</v>
      </c>
      <c r="B205" s="5" t="s">
        <v>85</v>
      </c>
      <c r="C205" s="5" t="s">
        <v>39</v>
      </c>
      <c r="D205" s="5">
        <v>10</v>
      </c>
      <c r="E205" s="5" t="s">
        <v>2</v>
      </c>
    </row>
    <row r="206" spans="1:5" x14ac:dyDescent="0.45">
      <c r="A206" s="5">
        <v>2024</v>
      </c>
      <c r="B206" s="5" t="s">
        <v>24</v>
      </c>
      <c r="C206" s="5" t="s">
        <v>25</v>
      </c>
      <c r="D206" s="5">
        <v>8</v>
      </c>
      <c r="E206" s="5" t="s">
        <v>2</v>
      </c>
    </row>
    <row r="207" spans="1:5" x14ac:dyDescent="0.45">
      <c r="A207" s="5">
        <v>2024</v>
      </c>
      <c r="B207" s="5" t="s">
        <v>76</v>
      </c>
      <c r="C207" s="5" t="s">
        <v>49</v>
      </c>
      <c r="D207" s="5">
        <v>6</v>
      </c>
      <c r="E207" s="5" t="s">
        <v>2</v>
      </c>
    </row>
    <row r="208" spans="1:5" x14ac:dyDescent="0.45">
      <c r="A208" s="5">
        <v>2024</v>
      </c>
      <c r="B208" s="5" t="s">
        <v>13</v>
      </c>
      <c r="C208" s="5" t="s">
        <v>14</v>
      </c>
      <c r="D208" s="5">
        <v>4</v>
      </c>
      <c r="E208" s="5" t="s">
        <v>2</v>
      </c>
    </row>
    <row r="209" spans="1:5" x14ac:dyDescent="0.45">
      <c r="A209" s="5">
        <v>2024</v>
      </c>
      <c r="B209" s="5" t="s">
        <v>57</v>
      </c>
      <c r="C209" s="5" t="s">
        <v>25</v>
      </c>
      <c r="D209" s="5">
        <v>2</v>
      </c>
      <c r="E209" s="5" t="s">
        <v>2</v>
      </c>
    </row>
    <row r="210" spans="1:5" x14ac:dyDescent="0.45">
      <c r="A210" s="5">
        <v>2024</v>
      </c>
      <c r="B210" s="5" t="s">
        <v>43</v>
      </c>
      <c r="C210" s="5" t="s">
        <v>72</v>
      </c>
      <c r="D210" s="5">
        <v>1</v>
      </c>
      <c r="E210" s="5" t="s">
        <v>2</v>
      </c>
    </row>
    <row r="211" spans="1:5" x14ac:dyDescent="0.45">
      <c r="A211" s="5">
        <v>2024</v>
      </c>
      <c r="B211" s="5" t="s">
        <v>33</v>
      </c>
      <c r="C211" s="5" t="s">
        <v>34</v>
      </c>
      <c r="D211" s="5">
        <v>0</v>
      </c>
      <c r="E211" s="5" t="s">
        <v>2</v>
      </c>
    </row>
    <row r="212" spans="1:5" x14ac:dyDescent="0.45">
      <c r="A212" s="5">
        <v>2024</v>
      </c>
      <c r="B212" s="5" t="s">
        <v>976</v>
      </c>
      <c r="C212" s="5" t="s">
        <v>72</v>
      </c>
      <c r="D212" s="5">
        <v>0</v>
      </c>
      <c r="E212" s="5" t="s">
        <v>2</v>
      </c>
    </row>
    <row r="213" spans="1:5" x14ac:dyDescent="0.45">
      <c r="A213" s="5">
        <v>2024</v>
      </c>
      <c r="B213" s="5" t="s">
        <v>71</v>
      </c>
      <c r="C213" s="5" t="s">
        <v>62</v>
      </c>
      <c r="D213" s="5">
        <v>0</v>
      </c>
      <c r="E213" s="5" t="s">
        <v>2</v>
      </c>
    </row>
    <row r="214" spans="1:5" x14ac:dyDescent="0.45">
      <c r="A214" s="5">
        <v>2024</v>
      </c>
      <c r="B214" s="5" t="s">
        <v>988</v>
      </c>
      <c r="C214" s="5" t="s">
        <v>34</v>
      </c>
      <c r="D214" s="5">
        <v>0</v>
      </c>
      <c r="E214" s="5" t="s">
        <v>2</v>
      </c>
    </row>
    <row r="215" spans="1:5" x14ac:dyDescent="0.45">
      <c r="A215" s="5">
        <v>2024</v>
      </c>
      <c r="B215" s="5" t="s">
        <v>66</v>
      </c>
      <c r="C215" s="5" t="s">
        <v>979</v>
      </c>
      <c r="D215" s="5">
        <v>0</v>
      </c>
      <c r="E215" s="5" t="s">
        <v>2</v>
      </c>
    </row>
    <row r="216" spans="1:5" x14ac:dyDescent="0.45">
      <c r="A216" s="5">
        <v>2024</v>
      </c>
      <c r="B216" s="5" t="s">
        <v>978</v>
      </c>
      <c r="C216" s="5" t="s">
        <v>979</v>
      </c>
      <c r="D216" s="5">
        <v>0</v>
      </c>
      <c r="E216" s="5" t="s">
        <v>2</v>
      </c>
    </row>
    <row r="217" spans="1:5" x14ac:dyDescent="0.45">
      <c r="A217" s="5">
        <v>2024</v>
      </c>
      <c r="B217" s="5" t="s">
        <v>986</v>
      </c>
      <c r="C217" s="5" t="s">
        <v>44</v>
      </c>
      <c r="D217" s="5">
        <v>0</v>
      </c>
      <c r="E217" s="5" t="s">
        <v>2</v>
      </c>
    </row>
    <row r="218" spans="1:5" x14ac:dyDescent="0.45">
      <c r="A218" s="5">
        <v>2024</v>
      </c>
      <c r="B218" s="5" t="s">
        <v>974</v>
      </c>
      <c r="C218" s="5" t="s">
        <v>44</v>
      </c>
      <c r="D218" s="5">
        <v>0</v>
      </c>
      <c r="E218" s="5" t="s">
        <v>2</v>
      </c>
    </row>
    <row r="219" spans="1:5" x14ac:dyDescent="0.45">
      <c r="A219" s="5">
        <v>2024</v>
      </c>
      <c r="B219" s="5" t="s">
        <v>38</v>
      </c>
      <c r="C219" s="5" t="s">
        <v>39</v>
      </c>
      <c r="D219" s="5">
        <v>0</v>
      </c>
      <c r="E219" s="5" t="s">
        <v>2</v>
      </c>
    </row>
    <row r="220" spans="1:5" x14ac:dyDescent="0.45">
      <c r="A220" s="5">
        <v>2024</v>
      </c>
      <c r="B220" s="5" t="s">
        <v>61</v>
      </c>
      <c r="C220" s="5" t="s">
        <v>62</v>
      </c>
      <c r="D220" s="5">
        <v>0</v>
      </c>
      <c r="E220" s="5" t="s">
        <v>2</v>
      </c>
    </row>
    <row r="221" spans="1:5" x14ac:dyDescent="0.45">
      <c r="A221" s="5">
        <v>2024</v>
      </c>
      <c r="B221" s="5" t="s">
        <v>87</v>
      </c>
      <c r="C221" s="5" t="s">
        <v>49</v>
      </c>
      <c r="D221" s="5">
        <v>25</v>
      </c>
      <c r="E221" s="5" t="s">
        <v>16</v>
      </c>
    </row>
    <row r="222" spans="1:5" x14ac:dyDescent="0.45">
      <c r="A222" s="5">
        <v>2024</v>
      </c>
      <c r="B222" s="5" t="s">
        <v>48</v>
      </c>
      <c r="C222" s="5" t="s">
        <v>49</v>
      </c>
      <c r="D222" s="5">
        <v>19</v>
      </c>
      <c r="E222" s="5" t="s">
        <v>2</v>
      </c>
    </row>
    <row r="223" spans="1:5" x14ac:dyDescent="0.45">
      <c r="A223" s="5">
        <v>2024</v>
      </c>
      <c r="B223" s="5" t="s">
        <v>13</v>
      </c>
      <c r="C223" s="5" t="s">
        <v>14</v>
      </c>
      <c r="D223" s="5">
        <v>15</v>
      </c>
      <c r="E223" s="5" t="s">
        <v>2</v>
      </c>
    </row>
    <row r="224" spans="1:5" x14ac:dyDescent="0.45">
      <c r="A224" s="5">
        <v>2024</v>
      </c>
      <c r="B224" s="5" t="s">
        <v>53</v>
      </c>
      <c r="C224" s="5" t="s">
        <v>14</v>
      </c>
      <c r="D224" s="5">
        <v>12</v>
      </c>
      <c r="E224" s="5" t="s">
        <v>2</v>
      </c>
    </row>
    <row r="225" spans="1:5" x14ac:dyDescent="0.45">
      <c r="A225" s="5">
        <v>2024</v>
      </c>
      <c r="B225" s="5" t="s">
        <v>955</v>
      </c>
      <c r="C225" s="5" t="s">
        <v>20</v>
      </c>
      <c r="D225" s="5">
        <v>10</v>
      </c>
      <c r="E225" s="5" t="s">
        <v>2</v>
      </c>
    </row>
    <row r="226" spans="1:5" x14ac:dyDescent="0.45">
      <c r="A226" s="5">
        <v>2024</v>
      </c>
      <c r="B226" s="5" t="s">
        <v>38</v>
      </c>
      <c r="C226" s="5" t="s">
        <v>39</v>
      </c>
      <c r="D226" s="5">
        <v>8</v>
      </c>
      <c r="E226" s="5" t="s">
        <v>2</v>
      </c>
    </row>
    <row r="227" spans="1:5" x14ac:dyDescent="0.45">
      <c r="A227" s="5">
        <v>2024</v>
      </c>
      <c r="B227" s="5" t="s">
        <v>66</v>
      </c>
      <c r="C227" s="5" t="s">
        <v>979</v>
      </c>
      <c r="D227" s="5">
        <v>6</v>
      </c>
      <c r="E227" s="5" t="s">
        <v>2</v>
      </c>
    </row>
    <row r="228" spans="1:5" x14ac:dyDescent="0.45">
      <c r="A228" s="5">
        <v>2024</v>
      </c>
      <c r="B228" s="5" t="s">
        <v>85</v>
      </c>
      <c r="C228" s="5" t="s">
        <v>39</v>
      </c>
      <c r="D228" s="5">
        <v>4</v>
      </c>
      <c r="E228" s="5" t="s">
        <v>2</v>
      </c>
    </row>
    <row r="229" spans="1:5" x14ac:dyDescent="0.45">
      <c r="A229" s="5">
        <v>2024</v>
      </c>
      <c r="B229" s="5" t="s">
        <v>43</v>
      </c>
      <c r="C229" s="5" t="s">
        <v>72</v>
      </c>
      <c r="D229" s="5">
        <v>2</v>
      </c>
      <c r="E229" s="5" t="s">
        <v>2</v>
      </c>
    </row>
    <row r="230" spans="1:5" x14ac:dyDescent="0.45">
      <c r="A230" s="5">
        <v>2024</v>
      </c>
      <c r="B230" s="5" t="s">
        <v>976</v>
      </c>
      <c r="C230" s="5" t="s">
        <v>72</v>
      </c>
      <c r="D230" s="5">
        <v>1</v>
      </c>
      <c r="E230" s="5" t="s">
        <v>2</v>
      </c>
    </row>
    <row r="231" spans="1:5" x14ac:dyDescent="0.45">
      <c r="A231" s="5">
        <v>2024</v>
      </c>
      <c r="B231" s="5" t="s">
        <v>33</v>
      </c>
      <c r="C231" s="5" t="s">
        <v>34</v>
      </c>
      <c r="D231" s="5">
        <v>0</v>
      </c>
      <c r="E231" s="5" t="s">
        <v>2</v>
      </c>
    </row>
    <row r="232" spans="1:5" x14ac:dyDescent="0.45">
      <c r="A232" s="5">
        <v>2024</v>
      </c>
      <c r="B232" s="5" t="s">
        <v>978</v>
      </c>
      <c r="C232" s="5" t="s">
        <v>979</v>
      </c>
      <c r="D232" s="5">
        <v>0</v>
      </c>
      <c r="E232" s="5" t="s">
        <v>2</v>
      </c>
    </row>
    <row r="233" spans="1:5" x14ac:dyDescent="0.45">
      <c r="A233" s="5">
        <v>2024</v>
      </c>
      <c r="B233" s="5" t="s">
        <v>61</v>
      </c>
      <c r="C233" s="5" t="s">
        <v>62</v>
      </c>
      <c r="D233" s="5">
        <v>0</v>
      </c>
      <c r="E233" s="5" t="s">
        <v>2</v>
      </c>
    </row>
    <row r="234" spans="1:5" x14ac:dyDescent="0.45">
      <c r="A234" s="5">
        <v>2024</v>
      </c>
      <c r="B234" s="5" t="s">
        <v>986</v>
      </c>
      <c r="C234" s="5" t="s">
        <v>44</v>
      </c>
      <c r="D234" s="5">
        <v>0</v>
      </c>
      <c r="E234" s="5" t="s">
        <v>2</v>
      </c>
    </row>
    <row r="235" spans="1:5" x14ac:dyDescent="0.45">
      <c r="A235" s="5">
        <v>2024</v>
      </c>
      <c r="B235" s="5" t="s">
        <v>974</v>
      </c>
      <c r="C235" s="5" t="s">
        <v>44</v>
      </c>
      <c r="D235" s="5">
        <v>0</v>
      </c>
      <c r="E235" s="5" t="s">
        <v>2</v>
      </c>
    </row>
    <row r="236" spans="1:5" x14ac:dyDescent="0.45">
      <c r="A236" s="5">
        <v>2024</v>
      </c>
      <c r="B236" s="5" t="s">
        <v>71</v>
      </c>
      <c r="C236" s="5" t="s">
        <v>62</v>
      </c>
      <c r="D236" s="5">
        <v>0</v>
      </c>
      <c r="E236" s="5" t="s">
        <v>2</v>
      </c>
    </row>
    <row r="237" spans="1:5" x14ac:dyDescent="0.45">
      <c r="A237" s="5">
        <v>2024</v>
      </c>
      <c r="B237" s="5" t="s">
        <v>24</v>
      </c>
      <c r="C237" s="5" t="s">
        <v>25</v>
      </c>
      <c r="D237" s="5">
        <v>0</v>
      </c>
      <c r="E237" s="5" t="s">
        <v>2</v>
      </c>
    </row>
    <row r="238" spans="1:5" x14ac:dyDescent="0.45">
      <c r="A238" s="5">
        <v>2024</v>
      </c>
      <c r="B238" s="5" t="s">
        <v>57</v>
      </c>
      <c r="C238" s="5" t="s">
        <v>25</v>
      </c>
      <c r="D238" s="5">
        <v>0</v>
      </c>
      <c r="E238" s="5" t="s">
        <v>2</v>
      </c>
    </row>
    <row r="239" spans="1:5" x14ac:dyDescent="0.45">
      <c r="A239" s="5">
        <v>2024</v>
      </c>
      <c r="B239" s="5" t="s">
        <v>19</v>
      </c>
      <c r="C239" s="5" t="s">
        <v>20</v>
      </c>
      <c r="D239" s="5">
        <v>0</v>
      </c>
      <c r="E239" s="5" t="s">
        <v>2</v>
      </c>
    </row>
    <row r="240" spans="1:5" x14ac:dyDescent="0.45">
      <c r="A240" s="5">
        <v>2024</v>
      </c>
      <c r="B240" s="5" t="s">
        <v>19</v>
      </c>
      <c r="C240" s="5" t="s">
        <v>20</v>
      </c>
      <c r="D240" s="5">
        <v>26</v>
      </c>
      <c r="E240" s="5" t="s">
        <v>16</v>
      </c>
    </row>
    <row r="241" spans="1:5" x14ac:dyDescent="0.45">
      <c r="A241" s="5">
        <v>2024</v>
      </c>
      <c r="B241" s="5" t="s">
        <v>955</v>
      </c>
      <c r="C241" s="5" t="s">
        <v>20</v>
      </c>
      <c r="D241" s="5">
        <v>18</v>
      </c>
      <c r="E241" s="5" t="s">
        <v>2</v>
      </c>
    </row>
    <row r="242" spans="1:5" x14ac:dyDescent="0.45">
      <c r="A242" s="5">
        <v>2024</v>
      </c>
      <c r="B242" s="5" t="s">
        <v>87</v>
      </c>
      <c r="C242" s="5" t="s">
        <v>49</v>
      </c>
      <c r="D242" s="5">
        <v>15</v>
      </c>
      <c r="E242" s="5" t="s">
        <v>2</v>
      </c>
    </row>
    <row r="243" spans="1:5" x14ac:dyDescent="0.45">
      <c r="A243" s="5">
        <v>2024</v>
      </c>
      <c r="B243" s="5" t="s">
        <v>48</v>
      </c>
      <c r="C243" s="5" t="s">
        <v>49</v>
      </c>
      <c r="D243" s="5">
        <v>12</v>
      </c>
      <c r="E243" s="5" t="s">
        <v>2</v>
      </c>
    </row>
    <row r="244" spans="1:5" x14ac:dyDescent="0.45">
      <c r="A244" s="5">
        <v>2024</v>
      </c>
      <c r="B244" s="5" t="s">
        <v>13</v>
      </c>
      <c r="C244" s="5" t="s">
        <v>14</v>
      </c>
      <c r="D244" s="5">
        <v>10</v>
      </c>
      <c r="E244" s="5" t="s">
        <v>2</v>
      </c>
    </row>
    <row r="245" spans="1:5" x14ac:dyDescent="0.45">
      <c r="A245" s="5">
        <v>2024</v>
      </c>
      <c r="B245" s="5" t="s">
        <v>85</v>
      </c>
      <c r="C245" s="5" t="s">
        <v>39</v>
      </c>
      <c r="D245" s="5">
        <v>8</v>
      </c>
      <c r="E245" s="5" t="s">
        <v>2</v>
      </c>
    </row>
    <row r="246" spans="1:5" x14ac:dyDescent="0.45">
      <c r="A246" s="5">
        <v>2024</v>
      </c>
      <c r="B246" s="5" t="s">
        <v>24</v>
      </c>
      <c r="C246" s="5" t="s">
        <v>25</v>
      </c>
      <c r="D246" s="5">
        <v>6</v>
      </c>
      <c r="E246" s="5" t="s">
        <v>2</v>
      </c>
    </row>
    <row r="247" spans="1:5" x14ac:dyDescent="0.45">
      <c r="A247" s="5">
        <v>2024</v>
      </c>
      <c r="B247" s="5" t="s">
        <v>53</v>
      </c>
      <c r="C247" s="5" t="s">
        <v>14</v>
      </c>
      <c r="D247" s="5">
        <v>4</v>
      </c>
      <c r="E247" s="5" t="s">
        <v>2</v>
      </c>
    </row>
    <row r="248" spans="1:5" x14ac:dyDescent="0.45">
      <c r="A248" s="5">
        <v>2024</v>
      </c>
      <c r="B248" s="5" t="s">
        <v>57</v>
      </c>
      <c r="C248" s="5" t="s">
        <v>25</v>
      </c>
      <c r="D248" s="5">
        <v>2</v>
      </c>
      <c r="E248" s="5" t="s">
        <v>2</v>
      </c>
    </row>
    <row r="249" spans="1:5" x14ac:dyDescent="0.45">
      <c r="A249" s="5">
        <v>2024</v>
      </c>
      <c r="B249" s="5" t="s">
        <v>66</v>
      </c>
      <c r="C249" s="5" t="s">
        <v>979</v>
      </c>
      <c r="D249" s="5">
        <v>1</v>
      </c>
      <c r="E249" s="5" t="s">
        <v>2</v>
      </c>
    </row>
    <row r="250" spans="1:5" x14ac:dyDescent="0.45">
      <c r="A250" s="5">
        <v>2024</v>
      </c>
      <c r="B250" s="5" t="s">
        <v>43</v>
      </c>
      <c r="C250" s="5" t="s">
        <v>72</v>
      </c>
      <c r="D250" s="5">
        <v>0</v>
      </c>
      <c r="E250" s="5" t="s">
        <v>2</v>
      </c>
    </row>
    <row r="251" spans="1:5" x14ac:dyDescent="0.45">
      <c r="A251" s="5">
        <v>2024</v>
      </c>
      <c r="B251" s="5" t="s">
        <v>38</v>
      </c>
      <c r="C251" s="5" t="s">
        <v>39</v>
      </c>
      <c r="D251" s="5">
        <v>0</v>
      </c>
      <c r="E251" s="5" t="s">
        <v>2</v>
      </c>
    </row>
    <row r="252" spans="1:5" x14ac:dyDescent="0.45">
      <c r="A252" s="5">
        <v>2024</v>
      </c>
      <c r="B252" s="5" t="s">
        <v>976</v>
      </c>
      <c r="C252" s="5" t="s">
        <v>72</v>
      </c>
      <c r="D252" s="5">
        <v>0</v>
      </c>
      <c r="E252" s="5" t="s">
        <v>2</v>
      </c>
    </row>
    <row r="253" spans="1:5" x14ac:dyDescent="0.45">
      <c r="A253" s="5">
        <v>2024</v>
      </c>
      <c r="B253" s="5" t="s">
        <v>986</v>
      </c>
      <c r="C253" s="5" t="s">
        <v>44</v>
      </c>
      <c r="D253" s="5">
        <v>0</v>
      </c>
      <c r="E253" s="5" t="s">
        <v>2</v>
      </c>
    </row>
    <row r="254" spans="1:5" x14ac:dyDescent="0.45">
      <c r="A254" s="5">
        <v>2024</v>
      </c>
      <c r="B254" s="5" t="s">
        <v>71</v>
      </c>
      <c r="C254" s="5" t="s">
        <v>62</v>
      </c>
      <c r="D254" s="5">
        <v>0</v>
      </c>
      <c r="E254" s="5" t="s">
        <v>2</v>
      </c>
    </row>
    <row r="255" spans="1:5" x14ac:dyDescent="0.45">
      <c r="A255" s="5">
        <v>2024</v>
      </c>
      <c r="B255" s="5" t="s">
        <v>61</v>
      </c>
      <c r="C255" s="5" t="s">
        <v>62</v>
      </c>
      <c r="D255" s="5">
        <v>0</v>
      </c>
      <c r="E255" s="5" t="s">
        <v>2</v>
      </c>
    </row>
    <row r="256" spans="1:5" x14ac:dyDescent="0.45">
      <c r="A256" s="5">
        <v>2024</v>
      </c>
      <c r="B256" s="5" t="s">
        <v>988</v>
      </c>
      <c r="C256" s="5" t="s">
        <v>34</v>
      </c>
      <c r="D256" s="5">
        <v>0</v>
      </c>
      <c r="E256" s="5" t="s">
        <v>2</v>
      </c>
    </row>
    <row r="257" spans="1:5" x14ac:dyDescent="0.45">
      <c r="A257" s="5">
        <v>2024</v>
      </c>
      <c r="B257" s="5" t="s">
        <v>974</v>
      </c>
      <c r="C257" s="5" t="s">
        <v>44</v>
      </c>
      <c r="D257" s="5">
        <v>0</v>
      </c>
      <c r="E257" s="5" t="s">
        <v>2</v>
      </c>
    </row>
    <row r="258" spans="1:5" x14ac:dyDescent="0.45">
      <c r="A258" s="5">
        <v>2024</v>
      </c>
      <c r="B258" s="5" t="s">
        <v>978</v>
      </c>
      <c r="C258" s="5" t="s">
        <v>979</v>
      </c>
      <c r="D258" s="5">
        <v>0</v>
      </c>
      <c r="E258" s="5" t="s">
        <v>2</v>
      </c>
    </row>
    <row r="259" spans="1:5" x14ac:dyDescent="0.45">
      <c r="A259" s="5">
        <v>2024</v>
      </c>
      <c r="B259" s="5" t="s">
        <v>33</v>
      </c>
      <c r="C259" s="5" t="s">
        <v>34</v>
      </c>
      <c r="D259" s="5">
        <v>0</v>
      </c>
      <c r="E259" s="5" t="s">
        <v>2</v>
      </c>
    </row>
    <row r="260" spans="1:5" x14ac:dyDescent="0.45">
      <c r="A260" s="5">
        <v>2024</v>
      </c>
      <c r="B260" s="5" t="s">
        <v>19</v>
      </c>
      <c r="C260" s="5" t="s">
        <v>20</v>
      </c>
      <c r="D260" s="5">
        <v>25</v>
      </c>
      <c r="E260" s="5" t="s">
        <v>16</v>
      </c>
    </row>
    <row r="261" spans="1:5" x14ac:dyDescent="0.45">
      <c r="A261" s="5">
        <v>2024</v>
      </c>
      <c r="B261" s="5" t="s">
        <v>13</v>
      </c>
      <c r="C261" s="5" t="s">
        <v>14</v>
      </c>
      <c r="D261" s="5">
        <v>18</v>
      </c>
      <c r="E261" s="5" t="s">
        <v>2</v>
      </c>
    </row>
    <row r="262" spans="1:5" x14ac:dyDescent="0.45">
      <c r="A262" s="5">
        <v>2024</v>
      </c>
      <c r="B262" s="5" t="s">
        <v>955</v>
      </c>
      <c r="C262" s="5" t="s">
        <v>20</v>
      </c>
      <c r="D262" s="5">
        <v>15</v>
      </c>
      <c r="E262" s="5" t="s">
        <v>2</v>
      </c>
    </row>
    <row r="263" spans="1:5" x14ac:dyDescent="0.45">
      <c r="A263" s="5">
        <v>2024</v>
      </c>
      <c r="B263" s="5" t="s">
        <v>48</v>
      </c>
      <c r="C263" s="5" t="s">
        <v>49</v>
      </c>
      <c r="D263" s="5">
        <v>12</v>
      </c>
      <c r="E263" s="5" t="s">
        <v>2</v>
      </c>
    </row>
    <row r="264" spans="1:5" x14ac:dyDescent="0.45">
      <c r="A264" s="5">
        <v>2024</v>
      </c>
      <c r="B264" s="5" t="s">
        <v>87</v>
      </c>
      <c r="C264" s="5" t="s">
        <v>49</v>
      </c>
      <c r="D264" s="5">
        <v>10</v>
      </c>
      <c r="E264" s="5" t="s">
        <v>2</v>
      </c>
    </row>
    <row r="265" spans="1:5" x14ac:dyDescent="0.45">
      <c r="A265" s="5">
        <v>2024</v>
      </c>
      <c r="B265" s="5" t="s">
        <v>24</v>
      </c>
      <c r="C265" s="5" t="s">
        <v>25</v>
      </c>
      <c r="D265" s="5">
        <v>8</v>
      </c>
      <c r="E265" s="5" t="s">
        <v>2</v>
      </c>
    </row>
    <row r="266" spans="1:5" x14ac:dyDescent="0.45">
      <c r="A266" s="5">
        <v>2024</v>
      </c>
      <c r="B266" s="5" t="s">
        <v>85</v>
      </c>
      <c r="C266" s="5" t="s">
        <v>39</v>
      </c>
      <c r="D266" s="5">
        <v>7</v>
      </c>
      <c r="E266" s="5" t="s">
        <v>2</v>
      </c>
    </row>
    <row r="267" spans="1:5" x14ac:dyDescent="0.45">
      <c r="A267" s="5">
        <v>2024</v>
      </c>
      <c r="B267" s="5" t="s">
        <v>53</v>
      </c>
      <c r="C267" s="5" t="s">
        <v>14</v>
      </c>
      <c r="D267" s="5">
        <v>4</v>
      </c>
      <c r="E267" s="5" t="s">
        <v>2</v>
      </c>
    </row>
    <row r="268" spans="1:5" x14ac:dyDescent="0.45">
      <c r="A268" s="5">
        <v>2024</v>
      </c>
      <c r="B268" s="5" t="s">
        <v>57</v>
      </c>
      <c r="C268" s="5" t="s">
        <v>25</v>
      </c>
      <c r="D268" s="5">
        <v>2</v>
      </c>
      <c r="E268" s="5" t="s">
        <v>2</v>
      </c>
    </row>
    <row r="269" spans="1:5" x14ac:dyDescent="0.45">
      <c r="A269" s="5">
        <v>2024</v>
      </c>
      <c r="B269" s="5" t="s">
        <v>43</v>
      </c>
      <c r="C269" s="5" t="s">
        <v>72</v>
      </c>
      <c r="D269" s="5">
        <v>1</v>
      </c>
      <c r="E269" s="5" t="s">
        <v>2</v>
      </c>
    </row>
    <row r="270" spans="1:5" x14ac:dyDescent="0.45">
      <c r="A270" s="5">
        <v>2024</v>
      </c>
      <c r="B270" s="5" t="s">
        <v>71</v>
      </c>
      <c r="C270" s="5" t="s">
        <v>62</v>
      </c>
      <c r="D270" s="5">
        <v>0</v>
      </c>
      <c r="E270" s="5" t="s">
        <v>2</v>
      </c>
    </row>
    <row r="271" spans="1:5" x14ac:dyDescent="0.45">
      <c r="A271" s="5">
        <v>2024</v>
      </c>
      <c r="B271" s="5" t="s">
        <v>33</v>
      </c>
      <c r="C271" s="5" t="s">
        <v>34</v>
      </c>
      <c r="D271" s="5">
        <v>0</v>
      </c>
      <c r="E271" s="5" t="s">
        <v>2</v>
      </c>
    </row>
    <row r="272" spans="1:5" x14ac:dyDescent="0.45">
      <c r="A272" s="5">
        <v>2024</v>
      </c>
      <c r="B272" s="5" t="s">
        <v>61</v>
      </c>
      <c r="C272" s="5" t="s">
        <v>62</v>
      </c>
      <c r="D272" s="5">
        <v>0</v>
      </c>
      <c r="E272" s="5" t="s">
        <v>2</v>
      </c>
    </row>
    <row r="273" spans="1:5" x14ac:dyDescent="0.45">
      <c r="A273" s="5">
        <v>2024</v>
      </c>
      <c r="B273" s="5" t="s">
        <v>974</v>
      </c>
      <c r="C273" s="5" t="s">
        <v>44</v>
      </c>
      <c r="D273" s="5">
        <v>0</v>
      </c>
      <c r="E273" s="5" t="s">
        <v>2</v>
      </c>
    </row>
    <row r="274" spans="1:5" x14ac:dyDescent="0.45">
      <c r="A274" s="5">
        <v>2024</v>
      </c>
      <c r="B274" s="5" t="s">
        <v>38</v>
      </c>
      <c r="C274" s="5" t="s">
        <v>39</v>
      </c>
      <c r="D274" s="5">
        <v>0</v>
      </c>
      <c r="E274" s="5" t="s">
        <v>2</v>
      </c>
    </row>
    <row r="275" spans="1:5" x14ac:dyDescent="0.45">
      <c r="A275" s="5">
        <v>2024</v>
      </c>
      <c r="B275" s="5" t="s">
        <v>976</v>
      </c>
      <c r="C275" s="5" t="s">
        <v>72</v>
      </c>
      <c r="D275" s="5">
        <v>0</v>
      </c>
      <c r="E275" s="5" t="s">
        <v>2</v>
      </c>
    </row>
    <row r="276" spans="1:5" x14ac:dyDescent="0.45">
      <c r="A276" s="5">
        <v>2024</v>
      </c>
      <c r="B276" s="5" t="s">
        <v>988</v>
      </c>
      <c r="C276" s="5" t="s">
        <v>34</v>
      </c>
      <c r="D276" s="5">
        <v>0</v>
      </c>
      <c r="E276" s="5" t="s">
        <v>2</v>
      </c>
    </row>
    <row r="277" spans="1:5" x14ac:dyDescent="0.45">
      <c r="A277" s="5">
        <v>2024</v>
      </c>
      <c r="B277" s="5" t="s">
        <v>978</v>
      </c>
      <c r="C277" s="5" t="s">
        <v>979</v>
      </c>
      <c r="D277" s="5">
        <v>0</v>
      </c>
      <c r="E277" s="5" t="s">
        <v>2</v>
      </c>
    </row>
    <row r="278" spans="1:5" x14ac:dyDescent="0.45">
      <c r="A278" s="5">
        <v>2024</v>
      </c>
      <c r="B278" s="5" t="s">
        <v>66</v>
      </c>
      <c r="C278" s="5" t="s">
        <v>979</v>
      </c>
      <c r="D278" s="5">
        <v>0</v>
      </c>
      <c r="E278" s="5" t="s">
        <v>2</v>
      </c>
    </row>
    <row r="279" spans="1:5" x14ac:dyDescent="0.45">
      <c r="A279" s="5">
        <v>2024</v>
      </c>
      <c r="B279" s="5" t="s">
        <v>986</v>
      </c>
      <c r="C279" s="5" t="s">
        <v>44</v>
      </c>
      <c r="D279" s="5">
        <v>0</v>
      </c>
      <c r="E279" s="5" t="s">
        <v>2</v>
      </c>
    </row>
    <row r="280" spans="1:5" x14ac:dyDescent="0.45">
      <c r="A280" s="5">
        <v>2024</v>
      </c>
      <c r="B280" s="5" t="s">
        <v>13</v>
      </c>
      <c r="C280" s="5" t="s">
        <v>14</v>
      </c>
      <c r="D280" s="5">
        <v>25</v>
      </c>
      <c r="E280" s="5" t="s">
        <v>16</v>
      </c>
    </row>
    <row r="281" spans="1:5" x14ac:dyDescent="0.45">
      <c r="A281" s="5">
        <v>2024</v>
      </c>
      <c r="B281" s="5" t="s">
        <v>19</v>
      </c>
      <c r="C281" s="5" t="s">
        <v>20</v>
      </c>
      <c r="D281" s="5">
        <v>18</v>
      </c>
      <c r="E281" s="5" t="s">
        <v>2</v>
      </c>
    </row>
    <row r="282" spans="1:5" x14ac:dyDescent="0.45">
      <c r="A282" s="5">
        <v>2024</v>
      </c>
      <c r="B282" s="5" t="s">
        <v>48</v>
      </c>
      <c r="C282" s="5" t="s">
        <v>49</v>
      </c>
      <c r="D282" s="5">
        <v>15</v>
      </c>
      <c r="E282" s="5" t="s">
        <v>2</v>
      </c>
    </row>
    <row r="283" spans="1:5" x14ac:dyDescent="0.45">
      <c r="A283" s="5">
        <v>2024</v>
      </c>
      <c r="B283" s="5" t="s">
        <v>955</v>
      </c>
      <c r="C283" s="5" t="s">
        <v>20</v>
      </c>
      <c r="D283" s="5">
        <v>12</v>
      </c>
      <c r="E283" s="5" t="s">
        <v>2</v>
      </c>
    </row>
    <row r="284" spans="1:5" x14ac:dyDescent="0.45">
      <c r="A284" s="5">
        <v>2024</v>
      </c>
      <c r="B284" s="5" t="s">
        <v>87</v>
      </c>
      <c r="C284" s="5" t="s">
        <v>49</v>
      </c>
      <c r="D284" s="5">
        <v>10</v>
      </c>
      <c r="E284" s="5" t="s">
        <v>2</v>
      </c>
    </row>
    <row r="285" spans="1:5" x14ac:dyDescent="0.45">
      <c r="A285" s="5">
        <v>2024</v>
      </c>
      <c r="B285" s="5" t="s">
        <v>57</v>
      </c>
      <c r="C285" s="5" t="s">
        <v>25</v>
      </c>
      <c r="D285" s="5">
        <v>8</v>
      </c>
      <c r="E285" s="5" t="s">
        <v>2</v>
      </c>
    </row>
    <row r="286" spans="1:5" x14ac:dyDescent="0.45">
      <c r="A286" s="5">
        <v>2024</v>
      </c>
      <c r="B286" s="5" t="s">
        <v>66</v>
      </c>
      <c r="C286" s="5" t="s">
        <v>979</v>
      </c>
      <c r="D286" s="5">
        <v>6</v>
      </c>
      <c r="E286" s="5" t="s">
        <v>2</v>
      </c>
    </row>
    <row r="287" spans="1:5" x14ac:dyDescent="0.45">
      <c r="A287" s="5">
        <v>2024</v>
      </c>
      <c r="B287" s="5" t="s">
        <v>24</v>
      </c>
      <c r="C287" s="5" t="s">
        <v>25</v>
      </c>
      <c r="D287" s="5">
        <v>4</v>
      </c>
      <c r="E287" s="5" t="s">
        <v>2</v>
      </c>
    </row>
    <row r="288" spans="1:5" x14ac:dyDescent="0.45">
      <c r="A288" s="5">
        <v>2024</v>
      </c>
      <c r="B288" s="5" t="s">
        <v>85</v>
      </c>
      <c r="C288" s="5" t="s">
        <v>39</v>
      </c>
      <c r="D288" s="5">
        <v>2</v>
      </c>
      <c r="E288" s="5" t="s">
        <v>2</v>
      </c>
    </row>
    <row r="289" spans="1:5" x14ac:dyDescent="0.45">
      <c r="A289" s="5">
        <v>2024</v>
      </c>
      <c r="B289" s="5" t="s">
        <v>71</v>
      </c>
      <c r="C289" s="5" t="s">
        <v>62</v>
      </c>
      <c r="D289" s="5">
        <v>1</v>
      </c>
      <c r="E289" s="5" t="s">
        <v>2</v>
      </c>
    </row>
    <row r="290" spans="1:5" x14ac:dyDescent="0.45">
      <c r="A290" s="5">
        <v>2024</v>
      </c>
      <c r="B290" s="5" t="s">
        <v>43</v>
      </c>
      <c r="C290" s="5" t="s">
        <v>72</v>
      </c>
      <c r="D290" s="5">
        <v>0</v>
      </c>
      <c r="E290" s="5" t="s">
        <v>2</v>
      </c>
    </row>
    <row r="291" spans="1:5" x14ac:dyDescent="0.45">
      <c r="A291" s="5">
        <v>2024</v>
      </c>
      <c r="B291" s="5" t="s">
        <v>61</v>
      </c>
      <c r="C291" s="5" t="s">
        <v>62</v>
      </c>
      <c r="D291" s="5">
        <v>0</v>
      </c>
      <c r="E291" s="5" t="s">
        <v>2</v>
      </c>
    </row>
    <row r="292" spans="1:5" x14ac:dyDescent="0.45">
      <c r="A292" s="5">
        <v>2024</v>
      </c>
      <c r="B292" s="5" t="s">
        <v>53</v>
      </c>
      <c r="C292" s="5" t="s">
        <v>14</v>
      </c>
      <c r="D292" s="5">
        <v>0</v>
      </c>
      <c r="E292" s="5" t="s">
        <v>2</v>
      </c>
    </row>
    <row r="293" spans="1:5" x14ac:dyDescent="0.45">
      <c r="A293" s="5">
        <v>2024</v>
      </c>
      <c r="B293" s="5" t="s">
        <v>974</v>
      </c>
      <c r="C293" s="5" t="s">
        <v>44</v>
      </c>
      <c r="D293" s="5">
        <v>0</v>
      </c>
      <c r="E293" s="5" t="s">
        <v>2</v>
      </c>
    </row>
    <row r="294" spans="1:5" x14ac:dyDescent="0.45">
      <c r="A294" s="5">
        <v>2024</v>
      </c>
      <c r="B294" s="5" t="s">
        <v>978</v>
      </c>
      <c r="C294" s="5" t="s">
        <v>979</v>
      </c>
      <c r="D294" s="5">
        <v>0</v>
      </c>
      <c r="E294" s="5" t="s">
        <v>2</v>
      </c>
    </row>
    <row r="295" spans="1:5" x14ac:dyDescent="0.45">
      <c r="A295" s="5">
        <v>2024</v>
      </c>
      <c r="B295" s="5" t="s">
        <v>986</v>
      </c>
      <c r="C295" s="5" t="s">
        <v>44</v>
      </c>
      <c r="D295" s="5">
        <v>0</v>
      </c>
      <c r="E295" s="5" t="s">
        <v>2</v>
      </c>
    </row>
    <row r="296" spans="1:5" x14ac:dyDescent="0.45">
      <c r="A296" s="5">
        <v>2024</v>
      </c>
      <c r="B296" s="5" t="s">
        <v>38</v>
      </c>
      <c r="C296" s="5" t="s">
        <v>39</v>
      </c>
      <c r="D296" s="5">
        <v>0</v>
      </c>
      <c r="E296" s="5" t="s">
        <v>2</v>
      </c>
    </row>
    <row r="297" spans="1:5" x14ac:dyDescent="0.45">
      <c r="A297" s="5">
        <v>2024</v>
      </c>
      <c r="B297" s="5" t="s">
        <v>33</v>
      </c>
      <c r="C297" s="5" t="s">
        <v>34</v>
      </c>
      <c r="D297" s="5">
        <v>0</v>
      </c>
      <c r="E297" s="5" t="s">
        <v>2</v>
      </c>
    </row>
    <row r="298" spans="1:5" x14ac:dyDescent="0.45">
      <c r="A298" s="5">
        <v>2024</v>
      </c>
      <c r="B298" s="5" t="s">
        <v>976</v>
      </c>
      <c r="C298" s="5" t="s">
        <v>72</v>
      </c>
      <c r="D298" s="5">
        <v>0</v>
      </c>
      <c r="E298" s="5" t="s">
        <v>2</v>
      </c>
    </row>
    <row r="299" spans="1:5" x14ac:dyDescent="0.45">
      <c r="A299" s="5">
        <v>2024</v>
      </c>
      <c r="B299" s="5" t="s">
        <v>988</v>
      </c>
      <c r="C299" s="5" t="s">
        <v>34</v>
      </c>
      <c r="D299" s="5">
        <v>0</v>
      </c>
      <c r="E299" s="5" t="s">
        <v>2</v>
      </c>
    </row>
    <row r="300" spans="1:5" x14ac:dyDescent="0.45">
      <c r="A300" s="5">
        <v>2024</v>
      </c>
      <c r="B300" s="5" t="s">
        <v>19</v>
      </c>
      <c r="C300" s="5" t="s">
        <v>20</v>
      </c>
      <c r="D300" s="5">
        <v>25</v>
      </c>
      <c r="E300" s="5" t="s">
        <v>16</v>
      </c>
    </row>
    <row r="301" spans="1:5" x14ac:dyDescent="0.45">
      <c r="A301" s="5">
        <v>2024</v>
      </c>
      <c r="B301" s="5" t="s">
        <v>13</v>
      </c>
      <c r="C301" s="5" t="s">
        <v>14</v>
      </c>
      <c r="D301" s="5">
        <v>18</v>
      </c>
      <c r="E301" s="5" t="s">
        <v>2</v>
      </c>
    </row>
    <row r="302" spans="1:5" x14ac:dyDescent="0.45">
      <c r="A302" s="5">
        <v>2024</v>
      </c>
      <c r="B302" s="5" t="s">
        <v>48</v>
      </c>
      <c r="C302" s="5" t="s">
        <v>49</v>
      </c>
      <c r="D302" s="5">
        <v>15</v>
      </c>
      <c r="E302" s="5" t="s">
        <v>2</v>
      </c>
    </row>
    <row r="303" spans="1:5" x14ac:dyDescent="0.45">
      <c r="A303" s="5">
        <v>2024</v>
      </c>
      <c r="B303" s="5" t="s">
        <v>53</v>
      </c>
      <c r="C303" s="5" t="s">
        <v>14</v>
      </c>
      <c r="D303" s="5">
        <v>12</v>
      </c>
      <c r="E303" s="5" t="s">
        <v>2</v>
      </c>
    </row>
    <row r="304" spans="1:5" x14ac:dyDescent="0.45">
      <c r="A304" s="5">
        <v>2024</v>
      </c>
      <c r="B304" s="5" t="s">
        <v>87</v>
      </c>
      <c r="C304" s="5" t="s">
        <v>49</v>
      </c>
      <c r="D304" s="5">
        <v>10</v>
      </c>
      <c r="E304" s="5" t="s">
        <v>2</v>
      </c>
    </row>
    <row r="305" spans="1:5" x14ac:dyDescent="0.45">
      <c r="A305" s="5">
        <v>2024</v>
      </c>
      <c r="B305" s="5" t="s">
        <v>57</v>
      </c>
      <c r="C305" s="5" t="s">
        <v>25</v>
      </c>
      <c r="D305" s="5">
        <v>8</v>
      </c>
      <c r="E305" s="5" t="s">
        <v>2</v>
      </c>
    </row>
    <row r="306" spans="1:5" x14ac:dyDescent="0.45">
      <c r="A306" s="5">
        <v>2024</v>
      </c>
      <c r="B306" s="5" t="s">
        <v>24</v>
      </c>
      <c r="C306" s="5" t="s">
        <v>25</v>
      </c>
      <c r="D306" s="5">
        <v>7</v>
      </c>
      <c r="E306" s="5" t="s">
        <v>2</v>
      </c>
    </row>
    <row r="307" spans="1:5" x14ac:dyDescent="0.45">
      <c r="A307" s="5">
        <v>2024</v>
      </c>
      <c r="B307" s="5" t="s">
        <v>955</v>
      </c>
      <c r="C307" s="5" t="s">
        <v>20</v>
      </c>
      <c r="D307" s="5">
        <v>4</v>
      </c>
      <c r="E307" s="5" t="s">
        <v>2</v>
      </c>
    </row>
    <row r="308" spans="1:5" x14ac:dyDescent="0.45">
      <c r="A308" s="5">
        <v>2024</v>
      </c>
      <c r="B308" s="5" t="s">
        <v>38</v>
      </c>
      <c r="C308" s="5" t="s">
        <v>39</v>
      </c>
      <c r="D308" s="5">
        <v>2</v>
      </c>
      <c r="E308" s="5" t="s">
        <v>2</v>
      </c>
    </row>
    <row r="309" spans="1:5" x14ac:dyDescent="0.45">
      <c r="A309" s="5">
        <v>2024</v>
      </c>
      <c r="B309" s="5" t="s">
        <v>66</v>
      </c>
      <c r="C309" s="5" t="s">
        <v>979</v>
      </c>
      <c r="D309" s="5">
        <v>1</v>
      </c>
      <c r="E309" s="5" t="s">
        <v>2</v>
      </c>
    </row>
    <row r="310" spans="1:5" x14ac:dyDescent="0.45">
      <c r="A310" s="5">
        <v>2024</v>
      </c>
      <c r="B310" s="5" t="s">
        <v>43</v>
      </c>
      <c r="C310" s="5" t="s">
        <v>72</v>
      </c>
      <c r="D310" s="5">
        <v>0</v>
      </c>
      <c r="E310" s="5" t="s">
        <v>2</v>
      </c>
    </row>
    <row r="311" spans="1:5" x14ac:dyDescent="0.45">
      <c r="A311" s="5">
        <v>2024</v>
      </c>
      <c r="B311" s="5" t="s">
        <v>976</v>
      </c>
      <c r="C311" s="5" t="s">
        <v>72</v>
      </c>
      <c r="D311" s="5">
        <v>0</v>
      </c>
      <c r="E311" s="5" t="s">
        <v>2</v>
      </c>
    </row>
    <row r="312" spans="1:5" x14ac:dyDescent="0.45">
      <c r="A312" s="5">
        <v>2024</v>
      </c>
      <c r="B312" s="5" t="s">
        <v>978</v>
      </c>
      <c r="C312" s="5" t="s">
        <v>979</v>
      </c>
      <c r="D312" s="5">
        <v>0</v>
      </c>
      <c r="E312" s="5" t="s">
        <v>2</v>
      </c>
    </row>
    <row r="313" spans="1:5" x14ac:dyDescent="0.45">
      <c r="A313" s="5">
        <v>2024</v>
      </c>
      <c r="B313" s="5" t="s">
        <v>71</v>
      </c>
      <c r="C313" s="5" t="s">
        <v>62</v>
      </c>
      <c r="D313" s="5">
        <v>0</v>
      </c>
      <c r="E313" s="5" t="s">
        <v>2</v>
      </c>
    </row>
    <row r="314" spans="1:5" x14ac:dyDescent="0.45">
      <c r="A314" s="5">
        <v>2024</v>
      </c>
      <c r="B314" s="5" t="s">
        <v>974</v>
      </c>
      <c r="C314" s="5" t="s">
        <v>44</v>
      </c>
      <c r="D314" s="5">
        <v>0</v>
      </c>
      <c r="E314" s="5" t="s">
        <v>2</v>
      </c>
    </row>
    <row r="315" spans="1:5" x14ac:dyDescent="0.45">
      <c r="A315" s="5">
        <v>2024</v>
      </c>
      <c r="B315" s="5" t="s">
        <v>61</v>
      </c>
      <c r="C315" s="5" t="s">
        <v>62</v>
      </c>
      <c r="D315" s="5">
        <v>0</v>
      </c>
      <c r="E315" s="5" t="s">
        <v>2</v>
      </c>
    </row>
    <row r="316" spans="1:5" x14ac:dyDescent="0.45">
      <c r="A316" s="5">
        <v>2024</v>
      </c>
      <c r="B316" s="5" t="s">
        <v>988</v>
      </c>
      <c r="C316" s="5" t="s">
        <v>34</v>
      </c>
      <c r="D316" s="5">
        <v>0</v>
      </c>
      <c r="E316" s="5" t="s">
        <v>2</v>
      </c>
    </row>
    <row r="317" spans="1:5" x14ac:dyDescent="0.45">
      <c r="A317" s="5">
        <v>2024</v>
      </c>
      <c r="B317" s="5" t="s">
        <v>986</v>
      </c>
      <c r="C317" s="5" t="s">
        <v>44</v>
      </c>
      <c r="D317" s="5">
        <v>0</v>
      </c>
      <c r="E317" s="5" t="s">
        <v>2</v>
      </c>
    </row>
    <row r="318" spans="1:5" x14ac:dyDescent="0.45">
      <c r="A318" s="5">
        <v>2024</v>
      </c>
      <c r="B318" s="5" t="s">
        <v>85</v>
      </c>
      <c r="C318" s="5" t="s">
        <v>39</v>
      </c>
      <c r="D318" s="5">
        <v>0</v>
      </c>
      <c r="E318" s="5" t="s">
        <v>2</v>
      </c>
    </row>
    <row r="319" spans="1:5" x14ac:dyDescent="0.45">
      <c r="A319" s="5">
        <v>2024</v>
      </c>
      <c r="B319" s="5" t="s">
        <v>33</v>
      </c>
      <c r="C319" s="5" t="s">
        <v>34</v>
      </c>
      <c r="D319" s="5">
        <v>0</v>
      </c>
      <c r="E319" s="5" t="s">
        <v>2</v>
      </c>
    </row>
    <row r="320" spans="1:5" x14ac:dyDescent="0.45">
      <c r="A320" s="5">
        <v>2024</v>
      </c>
      <c r="B320" s="5" t="s">
        <v>48</v>
      </c>
      <c r="C320" s="5" t="s">
        <v>49</v>
      </c>
      <c r="D320" s="5">
        <v>25</v>
      </c>
      <c r="E320" s="5" t="s">
        <v>16</v>
      </c>
    </row>
    <row r="321" spans="1:5" x14ac:dyDescent="0.45">
      <c r="A321" s="5">
        <v>2024</v>
      </c>
      <c r="B321" s="5" t="s">
        <v>53</v>
      </c>
      <c r="C321" s="5" t="s">
        <v>14</v>
      </c>
      <c r="D321" s="5">
        <v>18</v>
      </c>
      <c r="E321" s="5" t="s">
        <v>2</v>
      </c>
    </row>
    <row r="322" spans="1:5" x14ac:dyDescent="0.45">
      <c r="A322" s="5">
        <v>2024</v>
      </c>
      <c r="B322" s="5" t="s">
        <v>87</v>
      </c>
      <c r="C322" s="5" t="s">
        <v>49</v>
      </c>
      <c r="D322" s="5">
        <v>15</v>
      </c>
      <c r="E322" s="5" t="s">
        <v>2</v>
      </c>
    </row>
    <row r="323" spans="1:5" x14ac:dyDescent="0.45">
      <c r="A323" s="5">
        <v>2024</v>
      </c>
      <c r="B323" s="5" t="s">
        <v>13</v>
      </c>
      <c r="C323" s="5" t="s">
        <v>14</v>
      </c>
      <c r="D323" s="5">
        <v>12</v>
      </c>
      <c r="E323" s="5" t="s">
        <v>2</v>
      </c>
    </row>
    <row r="324" spans="1:5" x14ac:dyDescent="0.45">
      <c r="A324" s="5">
        <v>2024</v>
      </c>
      <c r="B324" s="5" t="s">
        <v>24</v>
      </c>
      <c r="C324" s="5" t="s">
        <v>25</v>
      </c>
      <c r="D324" s="5">
        <v>10</v>
      </c>
      <c r="E324" s="5" t="s">
        <v>2</v>
      </c>
    </row>
    <row r="325" spans="1:5" x14ac:dyDescent="0.45">
      <c r="A325" s="5">
        <v>2024</v>
      </c>
      <c r="B325" s="5" t="s">
        <v>19</v>
      </c>
      <c r="C325" s="5" t="s">
        <v>20</v>
      </c>
      <c r="D325" s="5">
        <v>8</v>
      </c>
      <c r="E325" s="5" t="s">
        <v>2</v>
      </c>
    </row>
    <row r="326" spans="1:5" x14ac:dyDescent="0.45">
      <c r="A326" s="5">
        <v>2024</v>
      </c>
      <c r="B326" s="5" t="s">
        <v>57</v>
      </c>
      <c r="C326" s="5" t="s">
        <v>25</v>
      </c>
      <c r="D326" s="5">
        <v>7</v>
      </c>
      <c r="E326" s="5" t="s">
        <v>2</v>
      </c>
    </row>
    <row r="327" spans="1:5" x14ac:dyDescent="0.45">
      <c r="A327" s="5">
        <v>2024</v>
      </c>
      <c r="B327" s="5" t="s">
        <v>66</v>
      </c>
      <c r="C327" s="5" t="s">
        <v>979</v>
      </c>
      <c r="D327" s="5">
        <v>4</v>
      </c>
      <c r="E327" s="5" t="s">
        <v>2</v>
      </c>
    </row>
    <row r="328" spans="1:5" x14ac:dyDescent="0.45">
      <c r="A328" s="5">
        <v>2024</v>
      </c>
      <c r="B328" s="5" t="s">
        <v>33</v>
      </c>
      <c r="C328" s="5" t="s">
        <v>34</v>
      </c>
      <c r="D328" s="5">
        <v>2</v>
      </c>
      <c r="E328" s="5" t="s">
        <v>2</v>
      </c>
    </row>
    <row r="329" spans="1:5" x14ac:dyDescent="0.45">
      <c r="A329" s="5">
        <v>2024</v>
      </c>
      <c r="B329" s="5" t="s">
        <v>61</v>
      </c>
      <c r="C329" s="5" t="s">
        <v>62</v>
      </c>
      <c r="D329" s="5">
        <v>1</v>
      </c>
      <c r="E329" s="5" t="s">
        <v>2</v>
      </c>
    </row>
    <row r="330" spans="1:5" x14ac:dyDescent="0.45">
      <c r="A330" s="5">
        <v>2024</v>
      </c>
      <c r="B330" s="5" t="s">
        <v>85</v>
      </c>
      <c r="C330" s="5" t="s">
        <v>39</v>
      </c>
      <c r="D330" s="5">
        <v>0</v>
      </c>
      <c r="E330" s="5" t="s">
        <v>2</v>
      </c>
    </row>
    <row r="331" spans="1:5" x14ac:dyDescent="0.45">
      <c r="A331" s="5">
        <v>2024</v>
      </c>
      <c r="B331" s="5" t="s">
        <v>978</v>
      </c>
      <c r="C331" s="5" t="s">
        <v>979</v>
      </c>
      <c r="D331" s="5">
        <v>0</v>
      </c>
      <c r="E331" s="5" t="s">
        <v>2</v>
      </c>
    </row>
    <row r="332" spans="1:5" x14ac:dyDescent="0.45">
      <c r="A332" s="5">
        <v>2024</v>
      </c>
      <c r="B332" s="5" t="s">
        <v>986</v>
      </c>
      <c r="C332" s="5" t="s">
        <v>44</v>
      </c>
      <c r="D332" s="5">
        <v>0</v>
      </c>
      <c r="E332" s="5" t="s">
        <v>2</v>
      </c>
    </row>
    <row r="333" spans="1:5" x14ac:dyDescent="0.45">
      <c r="A333" s="5">
        <v>2024</v>
      </c>
      <c r="B333" s="5" t="s">
        <v>38</v>
      </c>
      <c r="C333" s="5" t="s">
        <v>39</v>
      </c>
      <c r="D333" s="5">
        <v>0</v>
      </c>
      <c r="E333" s="5" t="s">
        <v>2</v>
      </c>
    </row>
    <row r="334" spans="1:5" x14ac:dyDescent="0.45">
      <c r="A334" s="5">
        <v>2024</v>
      </c>
      <c r="B334" s="5" t="s">
        <v>988</v>
      </c>
      <c r="C334" s="5" t="s">
        <v>34</v>
      </c>
      <c r="D334" s="5">
        <v>0</v>
      </c>
      <c r="E334" s="5" t="s">
        <v>2</v>
      </c>
    </row>
    <row r="335" spans="1:5" x14ac:dyDescent="0.45">
      <c r="A335" s="5">
        <v>2024</v>
      </c>
      <c r="B335" s="5" t="s">
        <v>974</v>
      </c>
      <c r="C335" s="5" t="s">
        <v>44</v>
      </c>
      <c r="D335" s="5">
        <v>0</v>
      </c>
      <c r="E335" s="5" t="s">
        <v>2</v>
      </c>
    </row>
    <row r="336" spans="1:5" x14ac:dyDescent="0.45">
      <c r="A336" s="5">
        <v>2024</v>
      </c>
      <c r="B336" s="5" t="s">
        <v>71</v>
      </c>
      <c r="C336" s="5" t="s">
        <v>62</v>
      </c>
      <c r="D336" s="5">
        <v>0</v>
      </c>
      <c r="E336" s="5" t="s">
        <v>2</v>
      </c>
    </row>
    <row r="337" spans="1:5" x14ac:dyDescent="0.45">
      <c r="A337" s="5">
        <v>2024</v>
      </c>
      <c r="B337" s="5" t="s">
        <v>955</v>
      </c>
      <c r="C337" s="5" t="s">
        <v>20</v>
      </c>
      <c r="D337" s="5">
        <v>0</v>
      </c>
      <c r="E337" s="5" t="s">
        <v>2</v>
      </c>
    </row>
    <row r="338" spans="1:5" x14ac:dyDescent="0.45">
      <c r="A338" s="5">
        <v>2024</v>
      </c>
      <c r="B338" s="5" t="s">
        <v>43</v>
      </c>
      <c r="C338" s="5" t="s">
        <v>72</v>
      </c>
      <c r="D338" s="5">
        <v>0</v>
      </c>
      <c r="E338" s="5" t="s">
        <v>2</v>
      </c>
    </row>
    <row r="339" spans="1:5" x14ac:dyDescent="0.45">
      <c r="A339" s="5">
        <v>2024</v>
      </c>
      <c r="B339" s="5" t="s">
        <v>976</v>
      </c>
      <c r="C339" s="5" t="s">
        <v>72</v>
      </c>
      <c r="D339" s="5">
        <v>0</v>
      </c>
      <c r="E339" s="5" t="s">
        <v>2</v>
      </c>
    </row>
    <row r="340" spans="1:5" x14ac:dyDescent="0.45">
      <c r="A340" s="5">
        <v>2024</v>
      </c>
      <c r="B340" s="5" t="s">
        <v>19</v>
      </c>
      <c r="C340" s="5" t="s">
        <v>20</v>
      </c>
      <c r="D340" s="5">
        <v>25</v>
      </c>
      <c r="E340" s="5" t="s">
        <v>16</v>
      </c>
    </row>
    <row r="341" spans="1:5" x14ac:dyDescent="0.45">
      <c r="A341" s="5">
        <v>2024</v>
      </c>
      <c r="B341" s="5" t="s">
        <v>13</v>
      </c>
      <c r="C341" s="5" t="s">
        <v>14</v>
      </c>
      <c r="D341" s="5">
        <v>19</v>
      </c>
      <c r="E341" s="5" t="s">
        <v>2</v>
      </c>
    </row>
    <row r="342" spans="1:5" x14ac:dyDescent="0.45">
      <c r="A342" s="5">
        <v>2024</v>
      </c>
      <c r="B342" s="5" t="s">
        <v>57</v>
      </c>
      <c r="C342" s="5" t="s">
        <v>25</v>
      </c>
      <c r="D342" s="5">
        <v>15</v>
      </c>
      <c r="E342" s="5" t="s">
        <v>2</v>
      </c>
    </row>
    <row r="343" spans="1:5" x14ac:dyDescent="0.45">
      <c r="A343" s="5">
        <v>2024</v>
      </c>
      <c r="B343" s="5" t="s">
        <v>24</v>
      </c>
      <c r="C343" s="5" t="s">
        <v>25</v>
      </c>
      <c r="D343" s="5">
        <v>12</v>
      </c>
      <c r="E343" s="5" t="s">
        <v>2</v>
      </c>
    </row>
    <row r="344" spans="1:5" x14ac:dyDescent="0.45">
      <c r="A344" s="5">
        <v>2024</v>
      </c>
      <c r="B344" s="5" t="s">
        <v>48</v>
      </c>
      <c r="C344" s="5" t="s">
        <v>49</v>
      </c>
      <c r="D344" s="5">
        <v>10</v>
      </c>
      <c r="E344" s="5" t="s">
        <v>2</v>
      </c>
    </row>
    <row r="345" spans="1:5" x14ac:dyDescent="0.45">
      <c r="A345" s="5">
        <v>2024</v>
      </c>
      <c r="B345" s="5" t="s">
        <v>87</v>
      </c>
      <c r="C345" s="5" t="s">
        <v>49</v>
      </c>
      <c r="D345" s="5">
        <v>8</v>
      </c>
      <c r="E345" s="5" t="s">
        <v>2</v>
      </c>
    </row>
    <row r="346" spans="1:5" x14ac:dyDescent="0.45">
      <c r="A346" s="5">
        <v>2024</v>
      </c>
      <c r="B346" s="5" t="s">
        <v>53</v>
      </c>
      <c r="C346" s="5" t="s">
        <v>14</v>
      </c>
      <c r="D346" s="5">
        <v>6</v>
      </c>
      <c r="E346" s="5" t="s">
        <v>2</v>
      </c>
    </row>
    <row r="347" spans="1:5" x14ac:dyDescent="0.45">
      <c r="A347" s="5">
        <v>2024</v>
      </c>
      <c r="B347" s="5" t="s">
        <v>955</v>
      </c>
      <c r="C347" s="5" t="s">
        <v>20</v>
      </c>
      <c r="D347" s="5">
        <v>4</v>
      </c>
      <c r="E347" s="5" t="s">
        <v>2</v>
      </c>
    </row>
    <row r="348" spans="1:5" x14ac:dyDescent="0.45">
      <c r="A348" s="5">
        <v>2024</v>
      </c>
      <c r="B348" s="5" t="s">
        <v>61</v>
      </c>
      <c r="C348" s="5" t="s">
        <v>62</v>
      </c>
      <c r="D348" s="5">
        <v>2</v>
      </c>
      <c r="E348" s="5" t="s">
        <v>2</v>
      </c>
    </row>
    <row r="349" spans="1:5" x14ac:dyDescent="0.45">
      <c r="A349" s="5">
        <v>2024</v>
      </c>
      <c r="B349" s="5" t="s">
        <v>71</v>
      </c>
      <c r="C349" s="5" t="s">
        <v>62</v>
      </c>
      <c r="D349" s="5">
        <v>1</v>
      </c>
      <c r="E349" s="5" t="s">
        <v>2</v>
      </c>
    </row>
    <row r="350" spans="1:5" x14ac:dyDescent="0.45">
      <c r="A350" s="5">
        <v>2024</v>
      </c>
      <c r="B350" s="5" t="s">
        <v>43</v>
      </c>
      <c r="C350" s="5" t="s">
        <v>72</v>
      </c>
      <c r="D350" s="5">
        <v>0</v>
      </c>
      <c r="E350" s="5" t="s">
        <v>2</v>
      </c>
    </row>
    <row r="351" spans="1:5" x14ac:dyDescent="0.45">
      <c r="A351" s="5">
        <v>2024</v>
      </c>
      <c r="B351" s="5" t="s">
        <v>85</v>
      </c>
      <c r="C351" s="5" t="s">
        <v>39</v>
      </c>
      <c r="D351" s="5">
        <v>0</v>
      </c>
      <c r="E351" s="5" t="s">
        <v>2</v>
      </c>
    </row>
    <row r="352" spans="1:5" x14ac:dyDescent="0.45">
      <c r="A352" s="5">
        <v>2024</v>
      </c>
      <c r="B352" s="5" t="s">
        <v>974</v>
      </c>
      <c r="C352" s="5" t="s">
        <v>44</v>
      </c>
      <c r="D352" s="5">
        <v>0</v>
      </c>
      <c r="E352" s="5" t="s">
        <v>2</v>
      </c>
    </row>
    <row r="353" spans="1:5" x14ac:dyDescent="0.45">
      <c r="A353" s="5">
        <v>2024</v>
      </c>
      <c r="B353" s="5" t="s">
        <v>38</v>
      </c>
      <c r="C353" s="5" t="s">
        <v>39</v>
      </c>
      <c r="D353" s="5">
        <v>0</v>
      </c>
      <c r="E353" s="5" t="s">
        <v>2</v>
      </c>
    </row>
    <row r="354" spans="1:5" x14ac:dyDescent="0.45">
      <c r="A354" s="5">
        <v>2024</v>
      </c>
      <c r="B354" s="5" t="s">
        <v>978</v>
      </c>
      <c r="C354" s="5" t="s">
        <v>979</v>
      </c>
      <c r="D354" s="5">
        <v>0</v>
      </c>
      <c r="E354" s="5" t="s">
        <v>2</v>
      </c>
    </row>
    <row r="355" spans="1:5" x14ac:dyDescent="0.45">
      <c r="A355" s="5">
        <v>2024</v>
      </c>
      <c r="B355" s="5" t="s">
        <v>986</v>
      </c>
      <c r="C355" s="5" t="s">
        <v>44</v>
      </c>
      <c r="D355" s="5">
        <v>0</v>
      </c>
      <c r="E355" s="5" t="s">
        <v>2</v>
      </c>
    </row>
    <row r="356" spans="1:5" x14ac:dyDescent="0.45">
      <c r="A356" s="5">
        <v>2024</v>
      </c>
      <c r="B356" s="5" t="s">
        <v>976</v>
      </c>
      <c r="C356" s="5" t="s">
        <v>72</v>
      </c>
      <c r="D356" s="5">
        <v>0</v>
      </c>
      <c r="E356" s="5" t="s">
        <v>2</v>
      </c>
    </row>
    <row r="357" spans="1:5" x14ac:dyDescent="0.45">
      <c r="A357" s="5">
        <v>2024</v>
      </c>
      <c r="B357" s="5" t="s">
        <v>33</v>
      </c>
      <c r="C357" s="5" t="s">
        <v>34</v>
      </c>
      <c r="D357" s="5">
        <v>0</v>
      </c>
      <c r="E357" s="5" t="s">
        <v>2</v>
      </c>
    </row>
    <row r="358" spans="1:5" x14ac:dyDescent="0.45">
      <c r="A358" s="5">
        <v>2024</v>
      </c>
      <c r="B358" s="5" t="s">
        <v>66</v>
      </c>
      <c r="C358" s="5" t="s">
        <v>979</v>
      </c>
      <c r="D358" s="5">
        <v>0</v>
      </c>
      <c r="E358" s="5" t="s">
        <v>2</v>
      </c>
    </row>
    <row r="359" spans="1:5" x14ac:dyDescent="0.45">
      <c r="A359" s="5">
        <v>2024</v>
      </c>
      <c r="B359" s="5" t="s">
        <v>988</v>
      </c>
      <c r="C359" s="5" t="s">
        <v>34</v>
      </c>
      <c r="D359" s="5">
        <v>0</v>
      </c>
      <c r="E359" s="5" t="s">
        <v>2</v>
      </c>
    </row>
    <row r="360" spans="1:5" x14ac:dyDescent="0.45">
      <c r="A360" s="5">
        <v>2024</v>
      </c>
      <c r="B360" s="5" t="s">
        <v>87</v>
      </c>
      <c r="C360" s="5" t="s">
        <v>49</v>
      </c>
      <c r="D360" s="5">
        <v>25</v>
      </c>
      <c r="E360" s="5" t="s">
        <v>16</v>
      </c>
    </row>
    <row r="361" spans="1:5" x14ac:dyDescent="0.45">
      <c r="A361" s="5">
        <v>2024</v>
      </c>
      <c r="B361" s="5" t="s">
        <v>13</v>
      </c>
      <c r="C361" s="5" t="s">
        <v>14</v>
      </c>
      <c r="D361" s="5">
        <v>18</v>
      </c>
      <c r="E361" s="5" t="s">
        <v>2</v>
      </c>
    </row>
    <row r="362" spans="1:5" x14ac:dyDescent="0.45">
      <c r="A362" s="5">
        <v>2024</v>
      </c>
      <c r="B362" s="5" t="s">
        <v>48</v>
      </c>
      <c r="C362" s="5" t="s">
        <v>49</v>
      </c>
      <c r="D362" s="5">
        <v>16</v>
      </c>
      <c r="E362" s="5" t="s">
        <v>2</v>
      </c>
    </row>
    <row r="363" spans="1:5" x14ac:dyDescent="0.45">
      <c r="A363" s="5">
        <v>2024</v>
      </c>
      <c r="B363" s="5" t="s">
        <v>57</v>
      </c>
      <c r="C363" s="5" t="s">
        <v>25</v>
      </c>
      <c r="D363" s="5">
        <v>12</v>
      </c>
      <c r="E363" s="5" t="s">
        <v>2</v>
      </c>
    </row>
    <row r="364" spans="1:5" x14ac:dyDescent="0.45">
      <c r="A364" s="5">
        <v>2024</v>
      </c>
      <c r="B364" s="5" t="s">
        <v>24</v>
      </c>
      <c r="C364" s="5" t="s">
        <v>25</v>
      </c>
      <c r="D364" s="5">
        <v>10</v>
      </c>
      <c r="E364" s="5" t="s">
        <v>2</v>
      </c>
    </row>
    <row r="365" spans="1:5" x14ac:dyDescent="0.45">
      <c r="A365" s="5">
        <v>2024</v>
      </c>
      <c r="B365" s="5" t="s">
        <v>19</v>
      </c>
      <c r="C365" s="5" t="s">
        <v>20</v>
      </c>
      <c r="D365" s="5">
        <v>8</v>
      </c>
      <c r="E365" s="5" t="s">
        <v>2</v>
      </c>
    </row>
    <row r="366" spans="1:5" x14ac:dyDescent="0.45">
      <c r="A366" s="5">
        <v>2024</v>
      </c>
      <c r="B366" s="5" t="s">
        <v>976</v>
      </c>
      <c r="C366" s="5" t="s">
        <v>72</v>
      </c>
      <c r="D366" s="5">
        <v>6</v>
      </c>
      <c r="E366" s="5" t="s">
        <v>2</v>
      </c>
    </row>
    <row r="367" spans="1:5" x14ac:dyDescent="0.45">
      <c r="A367" s="5">
        <v>2024</v>
      </c>
      <c r="B367" s="5" t="s">
        <v>53</v>
      </c>
      <c r="C367" s="5" t="s">
        <v>14</v>
      </c>
      <c r="D367" s="5">
        <v>4</v>
      </c>
      <c r="E367" s="5" t="s">
        <v>2</v>
      </c>
    </row>
    <row r="368" spans="1:5" x14ac:dyDescent="0.45">
      <c r="A368" s="5">
        <v>2024</v>
      </c>
      <c r="B368" s="5" t="s">
        <v>43</v>
      </c>
      <c r="C368" s="5" t="s">
        <v>72</v>
      </c>
      <c r="D368" s="5">
        <v>2</v>
      </c>
      <c r="E368" s="5" t="s">
        <v>2</v>
      </c>
    </row>
    <row r="369" spans="1:5" x14ac:dyDescent="0.45">
      <c r="A369" s="5">
        <v>2024</v>
      </c>
      <c r="B369" s="5" t="s">
        <v>61</v>
      </c>
      <c r="C369" s="5" t="s">
        <v>62</v>
      </c>
      <c r="D369" s="5">
        <v>1</v>
      </c>
      <c r="E369" s="5" t="s">
        <v>2</v>
      </c>
    </row>
    <row r="370" spans="1:5" x14ac:dyDescent="0.45">
      <c r="A370" s="5">
        <v>2024</v>
      </c>
      <c r="B370" s="5" t="s">
        <v>38</v>
      </c>
      <c r="C370" s="5" t="s">
        <v>39</v>
      </c>
      <c r="D370" s="5">
        <v>0</v>
      </c>
      <c r="E370" s="5" t="s">
        <v>2</v>
      </c>
    </row>
    <row r="371" spans="1:5" x14ac:dyDescent="0.45">
      <c r="A371" s="5">
        <v>2024</v>
      </c>
      <c r="B371" s="5" t="s">
        <v>308</v>
      </c>
      <c r="C371" s="5" t="s">
        <v>34</v>
      </c>
      <c r="D371" s="5">
        <v>0</v>
      </c>
      <c r="E371" s="5" t="s">
        <v>2</v>
      </c>
    </row>
    <row r="372" spans="1:5" x14ac:dyDescent="0.45">
      <c r="A372" s="5">
        <v>2024</v>
      </c>
      <c r="B372" s="5" t="s">
        <v>71</v>
      </c>
      <c r="C372" s="5" t="s">
        <v>62</v>
      </c>
      <c r="D372" s="5">
        <v>0</v>
      </c>
      <c r="E372" s="5" t="s">
        <v>2</v>
      </c>
    </row>
    <row r="373" spans="1:5" x14ac:dyDescent="0.45">
      <c r="A373" s="5">
        <v>2024</v>
      </c>
      <c r="B373" s="5" t="s">
        <v>986</v>
      </c>
      <c r="C373" s="5" t="s">
        <v>44</v>
      </c>
      <c r="D373" s="5">
        <v>0</v>
      </c>
      <c r="E373" s="5" t="s">
        <v>2</v>
      </c>
    </row>
    <row r="374" spans="1:5" x14ac:dyDescent="0.45">
      <c r="A374" s="5">
        <v>2024</v>
      </c>
      <c r="B374" s="5" t="s">
        <v>974</v>
      </c>
      <c r="C374" s="5" t="s">
        <v>44</v>
      </c>
      <c r="D374" s="5">
        <v>0</v>
      </c>
      <c r="E374" s="5" t="s">
        <v>2</v>
      </c>
    </row>
    <row r="375" spans="1:5" x14ac:dyDescent="0.45">
      <c r="A375" s="5">
        <v>2024</v>
      </c>
      <c r="B375" s="5" t="s">
        <v>80</v>
      </c>
      <c r="C375" s="5" t="s">
        <v>979</v>
      </c>
      <c r="D375" s="5">
        <v>0</v>
      </c>
      <c r="E375" s="5" t="s">
        <v>2</v>
      </c>
    </row>
    <row r="376" spans="1:5" x14ac:dyDescent="0.45">
      <c r="A376" s="5">
        <v>2024</v>
      </c>
      <c r="B376" s="5" t="s">
        <v>955</v>
      </c>
      <c r="C376" s="5" t="s">
        <v>20</v>
      </c>
      <c r="D376" s="5">
        <v>0</v>
      </c>
      <c r="E376" s="5" t="s">
        <v>2</v>
      </c>
    </row>
    <row r="377" spans="1:5" x14ac:dyDescent="0.45">
      <c r="A377" s="5">
        <v>2024</v>
      </c>
      <c r="B377" s="5" t="s">
        <v>85</v>
      </c>
      <c r="C377" s="5" t="s">
        <v>39</v>
      </c>
      <c r="D377" s="5">
        <v>0</v>
      </c>
      <c r="E377" s="5" t="s">
        <v>2</v>
      </c>
    </row>
    <row r="378" spans="1:5" x14ac:dyDescent="0.45">
      <c r="A378" s="5">
        <v>2024</v>
      </c>
      <c r="B378" s="5" t="s">
        <v>33</v>
      </c>
      <c r="C378" s="5" t="s">
        <v>34</v>
      </c>
      <c r="D378" s="5">
        <v>0</v>
      </c>
      <c r="E378" s="5" t="s">
        <v>2</v>
      </c>
    </row>
    <row r="379" spans="1:5" x14ac:dyDescent="0.45">
      <c r="A379" s="5">
        <v>2024</v>
      </c>
      <c r="B379" s="5" t="s">
        <v>66</v>
      </c>
      <c r="C379" s="5" t="s">
        <v>979</v>
      </c>
      <c r="D379" s="5">
        <v>0</v>
      </c>
      <c r="E379" s="5" t="s">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82C3-098A-4FC3-B59A-DC2384A47E04}">
  <dimension ref="A1:T180"/>
  <sheetViews>
    <sheetView zoomScale="86" workbookViewId="0">
      <pane ySplit="1" topLeftCell="A146" activePane="bottomLeft" state="frozen"/>
      <selection pane="bottomLeft" activeCell="M156" sqref="M156"/>
    </sheetView>
  </sheetViews>
  <sheetFormatPr defaultRowHeight="14.25" x14ac:dyDescent="0.45"/>
  <cols>
    <col min="1" max="1" width="13.796875" bestFit="1" customWidth="1"/>
    <col min="2" max="2" width="9.86328125" bestFit="1" customWidth="1"/>
    <col min="3" max="3" width="17.1328125" bestFit="1" customWidth="1"/>
    <col min="4" max="4" width="5.6640625" bestFit="1" customWidth="1"/>
    <col min="5" max="5" width="14.53125" bestFit="1" customWidth="1"/>
    <col min="6" max="6" width="26.265625" bestFit="1" customWidth="1"/>
    <col min="7" max="7" width="13.59765625" bestFit="1" customWidth="1"/>
    <col min="8" max="8" width="6.9296875" bestFit="1" customWidth="1"/>
    <col min="9" max="9" width="14.19921875" bestFit="1" customWidth="1"/>
    <col min="10" max="10" width="8.33203125" bestFit="1" customWidth="1"/>
    <col min="11" max="11" width="15.59765625" bestFit="1" customWidth="1"/>
    <col min="12" max="12" width="16.86328125" bestFit="1" customWidth="1"/>
    <col min="13" max="13" width="9.3984375" bestFit="1" customWidth="1"/>
    <col min="14" max="14" width="9.46484375" bestFit="1" customWidth="1"/>
    <col min="15" max="15" width="16.796875" bestFit="1" customWidth="1"/>
    <col min="16" max="16" width="13.33203125" bestFit="1" customWidth="1"/>
    <col min="17" max="17" width="13.3984375" bestFit="1" customWidth="1"/>
    <col min="18" max="18" width="9.06640625" bestFit="1" customWidth="1"/>
    <col min="20" max="20" width="5.3984375" bestFit="1" customWidth="1"/>
  </cols>
  <sheetData>
    <row r="1" spans="1:20" x14ac:dyDescent="0.45">
      <c r="A1" t="s">
        <v>0</v>
      </c>
      <c r="B1" t="s">
        <v>1</v>
      </c>
      <c r="C1" t="s">
        <v>2744</v>
      </c>
      <c r="D1" t="s">
        <v>2</v>
      </c>
      <c r="E1" t="s">
        <v>3</v>
      </c>
      <c r="F1" t="s">
        <v>4</v>
      </c>
      <c r="G1" t="s">
        <v>5</v>
      </c>
      <c r="H1" t="s">
        <v>6</v>
      </c>
      <c r="I1" t="s">
        <v>7</v>
      </c>
      <c r="J1" t="s">
        <v>8</v>
      </c>
      <c r="K1" t="s">
        <v>9</v>
      </c>
      <c r="L1" t="s">
        <v>10</v>
      </c>
      <c r="M1" t="s">
        <v>2728</v>
      </c>
      <c r="N1" t="s">
        <v>2729</v>
      </c>
      <c r="O1" t="s">
        <v>2730</v>
      </c>
      <c r="P1" t="s">
        <v>2731</v>
      </c>
      <c r="Q1" t="s">
        <v>2732</v>
      </c>
      <c r="R1" t="s">
        <v>2733</v>
      </c>
    </row>
    <row r="2" spans="1:20" x14ac:dyDescent="0.45">
      <c r="A2" t="s">
        <v>11</v>
      </c>
      <c r="B2" t="s">
        <v>12</v>
      </c>
      <c r="C2">
        <f>IFERROR(VALUE(tblRace2025[[#This Row],[Position]]),"")</f>
        <v>1</v>
      </c>
      <c r="D2">
        <v>4</v>
      </c>
      <c r="E2" t="s">
        <v>13</v>
      </c>
      <c r="F2" t="s">
        <v>14</v>
      </c>
      <c r="G2">
        <v>1</v>
      </c>
      <c r="H2">
        <v>57</v>
      </c>
      <c r="I2" t="s">
        <v>15</v>
      </c>
      <c r="J2">
        <v>25</v>
      </c>
      <c r="K2" t="s">
        <v>16</v>
      </c>
      <c r="L2" t="s">
        <v>17</v>
      </c>
      <c r="M2" t="str">
        <f>IFERROR(IF(VALUE(tblRace2025[[#This Row],[Position]])=1,"Yes","No"),"No")</f>
        <v>Yes</v>
      </c>
      <c r="N2" t="str">
        <f>IFERROR(IF(VALUE(tblRace2025[[#This Row],[Position]])&lt;=3,"Yes","No"),"No")</f>
        <v>Yes</v>
      </c>
      <c r="O2">
        <f>IFERROR(VALUE(tblRace2025[[#This Row],[Starting Grid]])-VALUE(tblRace2025[[#This Row],[Position]]),0)</f>
        <v>0</v>
      </c>
      <c r="P2" t="str">
        <f>IFERROR(IF(AND(VALUE(tblRace2025[[#This Row],[Starting Grid]])=1,VALUE(tblRace2025[[#This Row],[Position]])=1),"Yes","No"),"No")</f>
        <v>Yes</v>
      </c>
      <c r="Q2" t="str">
        <f>IF(tblRace2025[[#This Row],[Points]]&gt;0,"Yes","No")</f>
        <v>Yes</v>
      </c>
      <c r="R2">
        <v>2025</v>
      </c>
    </row>
    <row r="3" spans="1:20" x14ac:dyDescent="0.45">
      <c r="A3" t="s">
        <v>11</v>
      </c>
      <c r="B3" t="s">
        <v>18</v>
      </c>
      <c r="C3">
        <f>IFERROR(VALUE(tblRace2025[[#This Row],[Position]]),"")</f>
        <v>2</v>
      </c>
      <c r="D3">
        <v>1</v>
      </c>
      <c r="E3" t="s">
        <v>19</v>
      </c>
      <c r="F3" t="s">
        <v>20</v>
      </c>
      <c r="G3">
        <v>3</v>
      </c>
      <c r="H3">
        <v>57</v>
      </c>
      <c r="I3" t="s">
        <v>21</v>
      </c>
      <c r="J3">
        <v>18</v>
      </c>
      <c r="K3" t="s">
        <v>2</v>
      </c>
      <c r="L3" t="s">
        <v>22</v>
      </c>
      <c r="M3" t="str">
        <f>IFERROR(IF(VALUE(tblRace2025[[#This Row],[Position]])=1,"Yes","No"),"No")</f>
        <v>No</v>
      </c>
      <c r="N3" t="str">
        <f>IFERROR(IF(VALUE(tblRace2025[[#This Row],[Position]])&lt;=3,"Yes","No"),"No")</f>
        <v>Yes</v>
      </c>
      <c r="O3">
        <f>IFERROR(VALUE(tblRace2025[[#This Row],[Starting Grid]])-VALUE(tblRace2025[[#This Row],[Position]]),0)</f>
        <v>1</v>
      </c>
      <c r="P3" t="str">
        <f>IFERROR(IF(AND(VALUE(tblRace2025[[#This Row],[Starting Grid]])=1,VALUE(tblRace2025[[#This Row],[Position]])=1),"Yes","No"),"No")</f>
        <v>No</v>
      </c>
      <c r="Q3" t="str">
        <f>IF(tblRace2025[[#This Row],[Points]]&gt;0,"Yes","No")</f>
        <v>Yes</v>
      </c>
      <c r="R3">
        <v>2025</v>
      </c>
      <c r="T3" t="b">
        <f>B2=1</f>
        <v>0</v>
      </c>
    </row>
    <row r="4" spans="1:20" x14ac:dyDescent="0.45">
      <c r="A4" t="s">
        <v>11</v>
      </c>
      <c r="B4" t="s">
        <v>23</v>
      </c>
      <c r="C4">
        <f>IFERROR(VALUE(tblRace2025[[#This Row],[Position]]),"")</f>
        <v>3</v>
      </c>
      <c r="D4">
        <v>63</v>
      </c>
      <c r="E4" t="s">
        <v>24</v>
      </c>
      <c r="F4" t="s">
        <v>25</v>
      </c>
      <c r="G4">
        <v>4</v>
      </c>
      <c r="H4">
        <v>57</v>
      </c>
      <c r="I4" t="s">
        <v>26</v>
      </c>
      <c r="J4">
        <v>15</v>
      </c>
      <c r="K4" t="s">
        <v>2</v>
      </c>
      <c r="L4" t="s">
        <v>27</v>
      </c>
      <c r="M4" t="str">
        <f>IFERROR(IF(VALUE(tblRace2025[[#This Row],[Position]])=1,"Yes","No"),"No")</f>
        <v>No</v>
      </c>
      <c r="N4" t="str">
        <f>IFERROR(IF(VALUE(tblRace2025[[#This Row],[Position]])&lt;=3,"Yes","No"),"No")</f>
        <v>Yes</v>
      </c>
      <c r="O4">
        <f>IFERROR(VALUE(tblRace2025[[#This Row],[Starting Grid]])-VALUE(tblRace2025[[#This Row],[Position]]),0)</f>
        <v>1</v>
      </c>
      <c r="P4" t="str">
        <f>IFERROR(IF(AND(VALUE(tblRace2025[[#This Row],[Starting Grid]])=1,VALUE(tblRace2025[[#This Row],[Position]])=1),"Yes","No"),"No")</f>
        <v>No</v>
      </c>
      <c r="Q4" t="str">
        <f>IF(tblRace2025[[#This Row],[Points]]&gt;0,"Yes","No")</f>
        <v>Yes</v>
      </c>
      <c r="R4">
        <v>2025</v>
      </c>
      <c r="T4" t="b">
        <f>VALUE(B2)=1</f>
        <v>1</v>
      </c>
    </row>
    <row r="5" spans="1:20" x14ac:dyDescent="0.45">
      <c r="A5" t="s">
        <v>11</v>
      </c>
      <c r="B5" t="s">
        <v>28</v>
      </c>
      <c r="C5">
        <f>IFERROR(VALUE(tblRace2025[[#This Row],[Position]]),"")</f>
        <v>4</v>
      </c>
      <c r="D5">
        <v>12</v>
      </c>
      <c r="E5" t="s">
        <v>29</v>
      </c>
      <c r="F5" t="s">
        <v>25</v>
      </c>
      <c r="G5">
        <v>16</v>
      </c>
      <c r="H5">
        <v>57</v>
      </c>
      <c r="I5" t="s">
        <v>30</v>
      </c>
      <c r="J5">
        <v>12</v>
      </c>
      <c r="K5" t="s">
        <v>2</v>
      </c>
      <c r="L5" t="s">
        <v>31</v>
      </c>
      <c r="M5" t="str">
        <f>IFERROR(IF(VALUE(tblRace2025[[#This Row],[Position]])=1,"Yes","No"),"No")</f>
        <v>No</v>
      </c>
      <c r="N5" t="str">
        <f>IFERROR(IF(VALUE(tblRace2025[[#This Row],[Position]])&lt;=3,"Yes","No"),"No")</f>
        <v>No</v>
      </c>
      <c r="O5">
        <f>IFERROR(VALUE(tblRace2025[[#This Row],[Starting Grid]])-VALUE(tblRace2025[[#This Row],[Position]]),0)</f>
        <v>12</v>
      </c>
      <c r="P5" t="str">
        <f>IFERROR(IF(AND(VALUE(tblRace2025[[#This Row],[Starting Grid]])=1,VALUE(tblRace2025[[#This Row],[Position]])=1),"Yes","No"),"No")</f>
        <v>No</v>
      </c>
      <c r="Q5" t="str">
        <f>IF(tblRace2025[[#This Row],[Points]]&gt;0,"Yes","No")</f>
        <v>Yes</v>
      </c>
      <c r="R5">
        <v>2025</v>
      </c>
    </row>
    <row r="6" spans="1:20" x14ac:dyDescent="0.45">
      <c r="A6" t="s">
        <v>11</v>
      </c>
      <c r="B6" t="s">
        <v>32</v>
      </c>
      <c r="C6">
        <f>IFERROR(VALUE(tblRace2025[[#This Row],[Position]]),"")</f>
        <v>5</v>
      </c>
      <c r="D6">
        <v>23</v>
      </c>
      <c r="E6" t="s">
        <v>33</v>
      </c>
      <c r="F6" t="s">
        <v>34</v>
      </c>
      <c r="G6">
        <v>6</v>
      </c>
      <c r="H6">
        <v>57</v>
      </c>
      <c r="I6" t="s">
        <v>35</v>
      </c>
      <c r="J6">
        <v>10</v>
      </c>
      <c r="K6" t="s">
        <v>2</v>
      </c>
      <c r="L6" t="s">
        <v>36</v>
      </c>
      <c r="M6" t="str">
        <f>IFERROR(IF(VALUE(tblRace2025[[#This Row],[Position]])=1,"Yes","No"),"No")</f>
        <v>No</v>
      </c>
      <c r="N6" t="str">
        <f>IFERROR(IF(VALUE(tblRace2025[[#This Row],[Position]])&lt;=3,"Yes","No"),"No")</f>
        <v>No</v>
      </c>
      <c r="O6">
        <f>IFERROR(VALUE(tblRace2025[[#This Row],[Starting Grid]])-VALUE(tblRace2025[[#This Row],[Position]]),0)</f>
        <v>1</v>
      </c>
      <c r="P6" t="str">
        <f>IFERROR(IF(AND(VALUE(tblRace2025[[#This Row],[Starting Grid]])=1,VALUE(tblRace2025[[#This Row],[Position]])=1),"Yes","No"),"No")</f>
        <v>No</v>
      </c>
      <c r="Q6" t="str">
        <f>IF(tblRace2025[[#This Row],[Points]]&gt;0,"Yes","No")</f>
        <v>Yes</v>
      </c>
      <c r="R6">
        <v>2025</v>
      </c>
      <c r="T6" t="b">
        <f>ISNUMBER(B2)</f>
        <v>0</v>
      </c>
    </row>
    <row r="7" spans="1:20" x14ac:dyDescent="0.45">
      <c r="A7" t="s">
        <v>11</v>
      </c>
      <c r="B7" t="s">
        <v>37</v>
      </c>
      <c r="C7">
        <f>IFERROR(VALUE(tblRace2025[[#This Row],[Position]]),"")</f>
        <v>6</v>
      </c>
      <c r="D7">
        <v>18</v>
      </c>
      <c r="E7" t="s">
        <v>38</v>
      </c>
      <c r="F7" t="s">
        <v>39</v>
      </c>
      <c r="G7">
        <v>13</v>
      </c>
      <c r="H7">
        <v>57</v>
      </c>
      <c r="I7" t="s">
        <v>40</v>
      </c>
      <c r="J7">
        <v>8</v>
      </c>
      <c r="K7" t="s">
        <v>2</v>
      </c>
      <c r="L7" t="s">
        <v>41</v>
      </c>
      <c r="M7" t="str">
        <f>IFERROR(IF(VALUE(tblRace2025[[#This Row],[Position]])=1,"Yes","No"),"No")</f>
        <v>No</v>
      </c>
      <c r="N7" t="str">
        <f>IFERROR(IF(VALUE(tblRace2025[[#This Row],[Position]])&lt;=3,"Yes","No"),"No")</f>
        <v>No</v>
      </c>
      <c r="O7">
        <f>IFERROR(VALUE(tblRace2025[[#This Row],[Starting Grid]])-VALUE(tblRace2025[[#This Row],[Position]]),0)</f>
        <v>7</v>
      </c>
      <c r="P7" t="str">
        <f>IFERROR(IF(AND(VALUE(tblRace2025[[#This Row],[Starting Grid]])=1,VALUE(tblRace2025[[#This Row],[Position]])=1),"Yes","No"),"No")</f>
        <v>No</v>
      </c>
      <c r="Q7" t="str">
        <f>IF(tblRace2025[[#This Row],[Points]]&gt;0,"Yes","No")</f>
        <v>Yes</v>
      </c>
      <c r="R7">
        <v>2025</v>
      </c>
    </row>
    <row r="8" spans="1:20" x14ac:dyDescent="0.45">
      <c r="A8" t="s">
        <v>11</v>
      </c>
      <c r="B8" t="s">
        <v>42</v>
      </c>
      <c r="C8">
        <f>IFERROR(VALUE(tblRace2025[[#This Row],[Position]]),"")</f>
        <v>7</v>
      </c>
      <c r="D8">
        <v>27</v>
      </c>
      <c r="E8" t="s">
        <v>43</v>
      </c>
      <c r="F8" t="s">
        <v>44</v>
      </c>
      <c r="G8">
        <v>17</v>
      </c>
      <c r="H8">
        <v>57</v>
      </c>
      <c r="I8" t="s">
        <v>45</v>
      </c>
      <c r="J8">
        <v>6</v>
      </c>
      <c r="K8" t="s">
        <v>2</v>
      </c>
      <c r="L8" t="s">
        <v>46</v>
      </c>
      <c r="M8" t="str">
        <f>IFERROR(IF(VALUE(tblRace2025[[#This Row],[Position]])=1,"Yes","No"),"No")</f>
        <v>No</v>
      </c>
      <c r="N8" t="str">
        <f>IFERROR(IF(VALUE(tblRace2025[[#This Row],[Position]])&lt;=3,"Yes","No"),"No")</f>
        <v>No</v>
      </c>
      <c r="O8">
        <f>IFERROR(VALUE(tblRace2025[[#This Row],[Starting Grid]])-VALUE(tblRace2025[[#This Row],[Position]]),0)</f>
        <v>10</v>
      </c>
      <c r="P8" t="str">
        <f>IFERROR(IF(AND(VALUE(tblRace2025[[#This Row],[Starting Grid]])=1,VALUE(tblRace2025[[#This Row],[Position]])=1),"Yes","No"),"No")</f>
        <v>No</v>
      </c>
      <c r="Q8" t="str">
        <f>IF(tblRace2025[[#This Row],[Points]]&gt;0,"Yes","No")</f>
        <v>Yes</v>
      </c>
      <c r="R8">
        <v>2025</v>
      </c>
    </row>
    <row r="9" spans="1:20" x14ac:dyDescent="0.45">
      <c r="A9" t="s">
        <v>11</v>
      </c>
      <c r="B9" t="s">
        <v>47</v>
      </c>
      <c r="C9">
        <f>IFERROR(VALUE(tblRace2025[[#This Row],[Position]]),"")</f>
        <v>8</v>
      </c>
      <c r="D9">
        <v>16</v>
      </c>
      <c r="E9" t="s">
        <v>48</v>
      </c>
      <c r="F9" t="s">
        <v>49</v>
      </c>
      <c r="G9">
        <v>7</v>
      </c>
      <c r="H9">
        <v>57</v>
      </c>
      <c r="I9" t="s">
        <v>50</v>
      </c>
      <c r="J9">
        <v>4</v>
      </c>
      <c r="K9" t="s">
        <v>2</v>
      </c>
      <c r="L9" t="s">
        <v>51</v>
      </c>
      <c r="M9" t="str">
        <f>IFERROR(IF(VALUE(tblRace2025[[#This Row],[Position]])=1,"Yes","No"),"No")</f>
        <v>No</v>
      </c>
      <c r="N9" t="str">
        <f>IFERROR(IF(VALUE(tblRace2025[[#This Row],[Position]])&lt;=3,"Yes","No"),"No")</f>
        <v>No</v>
      </c>
      <c r="O9">
        <f>IFERROR(VALUE(tblRace2025[[#This Row],[Starting Grid]])-VALUE(tblRace2025[[#This Row],[Position]]),0)</f>
        <v>-1</v>
      </c>
      <c r="P9" t="str">
        <f>IFERROR(IF(AND(VALUE(tblRace2025[[#This Row],[Starting Grid]])=1,VALUE(tblRace2025[[#This Row],[Position]])=1),"Yes","No"),"No")</f>
        <v>No</v>
      </c>
      <c r="Q9" t="str">
        <f>IF(tblRace2025[[#This Row],[Points]]&gt;0,"Yes","No")</f>
        <v>Yes</v>
      </c>
      <c r="R9">
        <v>2025</v>
      </c>
    </row>
    <row r="10" spans="1:20" x14ac:dyDescent="0.45">
      <c r="A10" t="s">
        <v>11</v>
      </c>
      <c r="B10" t="s">
        <v>52</v>
      </c>
      <c r="C10">
        <f>IFERROR(VALUE(tblRace2025[[#This Row],[Position]]),"")</f>
        <v>9</v>
      </c>
      <c r="D10">
        <v>81</v>
      </c>
      <c r="E10" t="s">
        <v>53</v>
      </c>
      <c r="F10" t="s">
        <v>14</v>
      </c>
      <c r="G10">
        <v>2</v>
      </c>
      <c r="H10">
        <v>57</v>
      </c>
      <c r="I10" t="s">
        <v>54</v>
      </c>
      <c r="J10">
        <v>2</v>
      </c>
      <c r="K10" t="s">
        <v>2</v>
      </c>
      <c r="L10" t="s">
        <v>55</v>
      </c>
      <c r="M10" t="str">
        <f>IFERROR(IF(VALUE(tblRace2025[[#This Row],[Position]])=1,"Yes","No"),"No")</f>
        <v>No</v>
      </c>
      <c r="N10" t="str">
        <f>IFERROR(IF(VALUE(tblRace2025[[#This Row],[Position]])&lt;=3,"Yes","No"),"No")</f>
        <v>No</v>
      </c>
      <c r="O10">
        <f>IFERROR(VALUE(tblRace2025[[#This Row],[Starting Grid]])-VALUE(tblRace2025[[#This Row],[Position]]),0)</f>
        <v>-7</v>
      </c>
      <c r="P10" t="str">
        <f>IFERROR(IF(AND(VALUE(tblRace2025[[#This Row],[Starting Grid]])=1,VALUE(tblRace2025[[#This Row],[Position]])=1),"Yes","No"),"No")</f>
        <v>No</v>
      </c>
      <c r="Q10" t="str">
        <f>IF(tblRace2025[[#This Row],[Points]]&gt;0,"Yes","No")</f>
        <v>Yes</v>
      </c>
      <c r="R10">
        <v>2025</v>
      </c>
    </row>
    <row r="11" spans="1:20" x14ac:dyDescent="0.45">
      <c r="A11" t="s">
        <v>11</v>
      </c>
      <c r="B11" t="s">
        <v>56</v>
      </c>
      <c r="C11">
        <f>IFERROR(VALUE(tblRace2025[[#This Row],[Position]]),"")</f>
        <v>10</v>
      </c>
      <c r="D11">
        <v>44</v>
      </c>
      <c r="E11" t="s">
        <v>57</v>
      </c>
      <c r="F11" t="s">
        <v>49</v>
      </c>
      <c r="G11">
        <v>8</v>
      </c>
      <c r="H11">
        <v>57</v>
      </c>
      <c r="I11" t="s">
        <v>58</v>
      </c>
      <c r="J11">
        <v>1</v>
      </c>
      <c r="K11" t="s">
        <v>2</v>
      </c>
      <c r="L11" t="s">
        <v>59</v>
      </c>
      <c r="M11" t="str">
        <f>IFERROR(IF(VALUE(tblRace2025[[#This Row],[Position]])=1,"Yes","No"),"No")</f>
        <v>No</v>
      </c>
      <c r="N11" t="str">
        <f>IFERROR(IF(VALUE(tblRace2025[[#This Row],[Position]])&lt;=3,"Yes","No"),"No")</f>
        <v>No</v>
      </c>
      <c r="O11">
        <f>IFERROR(VALUE(tblRace2025[[#This Row],[Starting Grid]])-VALUE(tblRace2025[[#This Row],[Position]]),0)</f>
        <v>-2</v>
      </c>
      <c r="P11" t="str">
        <f>IFERROR(IF(AND(VALUE(tblRace2025[[#This Row],[Starting Grid]])=1,VALUE(tblRace2025[[#This Row],[Position]])=1),"Yes","No"),"No")</f>
        <v>No</v>
      </c>
      <c r="Q11" t="str">
        <f>IF(tblRace2025[[#This Row],[Points]]&gt;0,"Yes","No")</f>
        <v>Yes</v>
      </c>
      <c r="R11">
        <v>2025</v>
      </c>
    </row>
    <row r="12" spans="1:20" x14ac:dyDescent="0.45">
      <c r="A12" t="s">
        <v>11</v>
      </c>
      <c r="B12" t="s">
        <v>60</v>
      </c>
      <c r="C12">
        <f>IFERROR(VALUE(tblRace2025[[#This Row],[Position]]),"")</f>
        <v>11</v>
      </c>
      <c r="D12">
        <v>10</v>
      </c>
      <c r="E12" t="s">
        <v>61</v>
      </c>
      <c r="F12" t="s">
        <v>62</v>
      </c>
      <c r="G12">
        <v>9</v>
      </c>
      <c r="H12">
        <v>57</v>
      </c>
      <c r="I12" t="s">
        <v>63</v>
      </c>
      <c r="J12">
        <v>0</v>
      </c>
      <c r="K12" t="s">
        <v>2</v>
      </c>
      <c r="L12" t="s">
        <v>64</v>
      </c>
      <c r="M12" t="str">
        <f>IFERROR(IF(VALUE(tblRace2025[[#This Row],[Position]])=1,"Yes","No"),"No")</f>
        <v>No</v>
      </c>
      <c r="N12" t="str">
        <f>IFERROR(IF(VALUE(tblRace2025[[#This Row],[Position]])&lt;=3,"Yes","No"),"No")</f>
        <v>No</v>
      </c>
      <c r="O12">
        <f>IFERROR(VALUE(tblRace2025[[#This Row],[Starting Grid]])-VALUE(tblRace2025[[#This Row],[Position]]),0)</f>
        <v>-2</v>
      </c>
      <c r="P12" t="str">
        <f>IFERROR(IF(AND(VALUE(tblRace2025[[#This Row],[Starting Grid]])=1,VALUE(tblRace2025[[#This Row],[Position]])=1),"Yes","No"),"No")</f>
        <v>No</v>
      </c>
      <c r="Q12" t="str">
        <f>IF(tblRace2025[[#This Row],[Points]]&gt;0,"Yes","No")</f>
        <v>No</v>
      </c>
      <c r="R12">
        <v>2025</v>
      </c>
    </row>
    <row r="13" spans="1:20" x14ac:dyDescent="0.45">
      <c r="A13" t="s">
        <v>11</v>
      </c>
      <c r="B13" t="s">
        <v>65</v>
      </c>
      <c r="C13">
        <f>IFERROR(VALUE(tblRace2025[[#This Row],[Position]]),"")</f>
        <v>12</v>
      </c>
      <c r="D13">
        <v>22</v>
      </c>
      <c r="E13" t="s">
        <v>66</v>
      </c>
      <c r="F13" t="s">
        <v>67</v>
      </c>
      <c r="G13">
        <v>5</v>
      </c>
      <c r="H13">
        <v>57</v>
      </c>
      <c r="I13" t="s">
        <v>68</v>
      </c>
      <c r="J13">
        <v>0</v>
      </c>
      <c r="K13" t="s">
        <v>2</v>
      </c>
      <c r="L13" t="s">
        <v>69</v>
      </c>
      <c r="M13" t="str">
        <f>IFERROR(IF(VALUE(tblRace2025[[#This Row],[Position]])=1,"Yes","No"),"No")</f>
        <v>No</v>
      </c>
      <c r="N13" t="str">
        <f>IFERROR(IF(VALUE(tblRace2025[[#This Row],[Position]])&lt;=3,"Yes","No"),"No")</f>
        <v>No</v>
      </c>
      <c r="O13">
        <f>IFERROR(VALUE(tblRace2025[[#This Row],[Starting Grid]])-VALUE(tblRace2025[[#This Row],[Position]]),0)</f>
        <v>-7</v>
      </c>
      <c r="P13" t="str">
        <f>IFERROR(IF(AND(VALUE(tblRace2025[[#This Row],[Starting Grid]])=1,VALUE(tblRace2025[[#This Row],[Position]])=1),"Yes","No"),"No")</f>
        <v>No</v>
      </c>
      <c r="Q13" t="str">
        <f>IF(tblRace2025[[#This Row],[Points]]&gt;0,"Yes","No")</f>
        <v>No</v>
      </c>
      <c r="R13">
        <v>2025</v>
      </c>
    </row>
    <row r="14" spans="1:20" x14ac:dyDescent="0.45">
      <c r="A14" t="s">
        <v>11</v>
      </c>
      <c r="B14" t="s">
        <v>70</v>
      </c>
      <c r="C14">
        <f>IFERROR(VALUE(tblRace2025[[#This Row],[Position]]),"")</f>
        <v>13</v>
      </c>
      <c r="D14">
        <v>31</v>
      </c>
      <c r="E14" t="s">
        <v>71</v>
      </c>
      <c r="F14" t="s">
        <v>72</v>
      </c>
      <c r="G14">
        <v>19</v>
      </c>
      <c r="H14">
        <v>57</v>
      </c>
      <c r="I14" t="s">
        <v>73</v>
      </c>
      <c r="J14">
        <v>0</v>
      </c>
      <c r="K14" t="s">
        <v>2</v>
      </c>
      <c r="L14" t="s">
        <v>74</v>
      </c>
      <c r="M14" t="str">
        <f>IFERROR(IF(VALUE(tblRace2025[[#This Row],[Position]])=1,"Yes","No"),"No")</f>
        <v>No</v>
      </c>
      <c r="N14" t="str">
        <f>IFERROR(IF(VALUE(tblRace2025[[#This Row],[Position]])&lt;=3,"Yes","No"),"No")</f>
        <v>No</v>
      </c>
      <c r="O14">
        <f>IFERROR(VALUE(tblRace2025[[#This Row],[Starting Grid]])-VALUE(tblRace2025[[#This Row],[Position]]),0)</f>
        <v>6</v>
      </c>
      <c r="P14" t="str">
        <f>IFERROR(IF(AND(VALUE(tblRace2025[[#This Row],[Starting Grid]])=1,VALUE(tblRace2025[[#This Row],[Position]])=1),"Yes","No"),"No")</f>
        <v>No</v>
      </c>
      <c r="Q14" t="str">
        <f>IF(tblRace2025[[#This Row],[Points]]&gt;0,"Yes","No")</f>
        <v>No</v>
      </c>
      <c r="R14">
        <v>2025</v>
      </c>
    </row>
    <row r="15" spans="1:20" x14ac:dyDescent="0.45">
      <c r="A15" t="s">
        <v>11</v>
      </c>
      <c r="B15" t="s">
        <v>75</v>
      </c>
      <c r="C15">
        <f>IFERROR(VALUE(tblRace2025[[#This Row],[Position]]),"")</f>
        <v>14</v>
      </c>
      <c r="D15">
        <v>87</v>
      </c>
      <c r="E15" t="s">
        <v>76</v>
      </c>
      <c r="F15" t="s">
        <v>72</v>
      </c>
      <c r="G15">
        <v>20</v>
      </c>
      <c r="H15">
        <v>57</v>
      </c>
      <c r="I15" t="s">
        <v>77</v>
      </c>
      <c r="J15">
        <v>0</v>
      </c>
      <c r="K15" t="s">
        <v>2</v>
      </c>
      <c r="L15" t="s">
        <v>78</v>
      </c>
      <c r="M15" t="str">
        <f>IFERROR(IF(VALUE(tblRace2025[[#This Row],[Position]])=1,"Yes","No"),"No")</f>
        <v>No</v>
      </c>
      <c r="N15" t="str">
        <f>IFERROR(IF(VALUE(tblRace2025[[#This Row],[Position]])&lt;=3,"Yes","No"),"No")</f>
        <v>No</v>
      </c>
      <c r="O15">
        <f>IFERROR(VALUE(tblRace2025[[#This Row],[Starting Grid]])-VALUE(tblRace2025[[#This Row],[Position]]),0)</f>
        <v>6</v>
      </c>
      <c r="P15" t="str">
        <f>IFERROR(IF(AND(VALUE(tblRace2025[[#This Row],[Starting Grid]])=1,VALUE(tblRace2025[[#This Row],[Position]])=1),"Yes","No"),"No")</f>
        <v>No</v>
      </c>
      <c r="Q15" t="str">
        <f>IF(tblRace2025[[#This Row],[Points]]&gt;0,"Yes","No")</f>
        <v>No</v>
      </c>
      <c r="R15">
        <v>2025</v>
      </c>
    </row>
    <row r="16" spans="1:20" x14ac:dyDescent="0.45">
      <c r="A16" t="s">
        <v>11</v>
      </c>
      <c r="B16" t="s">
        <v>79</v>
      </c>
      <c r="C16" t="str">
        <f>IFERROR(VALUE(tblRace2025[[#This Row],[Position]]),"")</f>
        <v/>
      </c>
      <c r="D16">
        <v>30</v>
      </c>
      <c r="E16" t="s">
        <v>80</v>
      </c>
      <c r="F16" t="s">
        <v>20</v>
      </c>
      <c r="G16">
        <v>18</v>
      </c>
      <c r="H16">
        <v>46</v>
      </c>
      <c r="I16" t="s">
        <v>81</v>
      </c>
      <c r="J16">
        <v>0</v>
      </c>
      <c r="K16" t="s">
        <v>2</v>
      </c>
      <c r="L16" t="s">
        <v>82</v>
      </c>
      <c r="M16" t="str">
        <f>IFERROR(IF(VALUE(tblRace2025[[#This Row],[Position]])=1,"Yes","No"),"No")</f>
        <v>No</v>
      </c>
      <c r="N16" t="str">
        <f>IFERROR(IF(VALUE(tblRace2025[[#This Row],[Position]])&lt;=3,"Yes","No"),"No")</f>
        <v>No</v>
      </c>
      <c r="O16">
        <f>IFERROR(VALUE(tblRace2025[[#This Row],[Starting Grid]])-VALUE(tblRace2025[[#This Row],[Position]]),0)</f>
        <v>0</v>
      </c>
      <c r="P16" t="str">
        <f>IFERROR(IF(AND(VALUE(tblRace2025[[#This Row],[Starting Grid]])=1,VALUE(tblRace2025[[#This Row],[Position]])=1),"Yes","No"),"No")</f>
        <v>No</v>
      </c>
      <c r="Q16" t="str">
        <f>IF(tblRace2025[[#This Row],[Points]]&gt;0,"Yes","No")</f>
        <v>No</v>
      </c>
      <c r="R16">
        <v>2025</v>
      </c>
    </row>
    <row r="17" spans="1:18" x14ac:dyDescent="0.45">
      <c r="A17" t="s">
        <v>11</v>
      </c>
      <c r="B17" t="s">
        <v>79</v>
      </c>
      <c r="C17" t="str">
        <f>IFERROR(VALUE(tblRace2025[[#This Row],[Position]]),"")</f>
        <v/>
      </c>
      <c r="D17">
        <v>5</v>
      </c>
      <c r="E17" t="s">
        <v>83</v>
      </c>
      <c r="F17" t="s">
        <v>44</v>
      </c>
      <c r="G17">
        <v>15</v>
      </c>
      <c r="H17">
        <v>45</v>
      </c>
      <c r="I17" t="s">
        <v>81</v>
      </c>
      <c r="J17">
        <v>0</v>
      </c>
      <c r="K17" t="s">
        <v>2</v>
      </c>
      <c r="L17" t="s">
        <v>84</v>
      </c>
      <c r="M17" t="str">
        <f>IFERROR(IF(VALUE(tblRace2025[[#This Row],[Position]])=1,"Yes","No"),"No")</f>
        <v>No</v>
      </c>
      <c r="N17" t="str">
        <f>IFERROR(IF(VALUE(tblRace2025[[#This Row],[Position]])&lt;=3,"Yes","No"),"No")</f>
        <v>No</v>
      </c>
      <c r="O17">
        <f>IFERROR(VALUE(tblRace2025[[#This Row],[Starting Grid]])-VALUE(tblRace2025[[#This Row],[Position]]),0)</f>
        <v>0</v>
      </c>
      <c r="P17" t="str">
        <f>IFERROR(IF(AND(VALUE(tblRace2025[[#This Row],[Starting Grid]])=1,VALUE(tblRace2025[[#This Row],[Position]])=1),"Yes","No"),"No")</f>
        <v>No</v>
      </c>
      <c r="Q17" t="str">
        <f>IF(tblRace2025[[#This Row],[Points]]&gt;0,"Yes","No")</f>
        <v>No</v>
      </c>
      <c r="R17">
        <v>2025</v>
      </c>
    </row>
    <row r="18" spans="1:18" x14ac:dyDescent="0.45">
      <c r="A18" t="s">
        <v>11</v>
      </c>
      <c r="B18" t="s">
        <v>79</v>
      </c>
      <c r="C18" t="str">
        <f>IFERROR(VALUE(tblRace2025[[#This Row],[Position]]),"")</f>
        <v/>
      </c>
      <c r="D18">
        <v>14</v>
      </c>
      <c r="E18" t="s">
        <v>85</v>
      </c>
      <c r="F18" t="s">
        <v>39</v>
      </c>
      <c r="G18">
        <v>12</v>
      </c>
      <c r="H18">
        <v>32</v>
      </c>
      <c r="I18" t="s">
        <v>81</v>
      </c>
      <c r="J18">
        <v>0</v>
      </c>
      <c r="K18" t="s">
        <v>2</v>
      </c>
      <c r="L18" t="s">
        <v>86</v>
      </c>
      <c r="M18" t="str">
        <f>IFERROR(IF(VALUE(tblRace2025[[#This Row],[Position]])=1,"Yes","No"),"No")</f>
        <v>No</v>
      </c>
      <c r="N18" t="str">
        <f>IFERROR(IF(VALUE(tblRace2025[[#This Row],[Position]])&lt;=3,"Yes","No"),"No")</f>
        <v>No</v>
      </c>
      <c r="O18">
        <f>IFERROR(VALUE(tblRace2025[[#This Row],[Starting Grid]])-VALUE(tblRace2025[[#This Row],[Position]]),0)</f>
        <v>0</v>
      </c>
      <c r="P18" t="str">
        <f>IFERROR(IF(AND(VALUE(tblRace2025[[#This Row],[Starting Grid]])=1,VALUE(tblRace2025[[#This Row],[Position]])=1),"Yes","No"),"No")</f>
        <v>No</v>
      </c>
      <c r="Q18" t="str">
        <f>IF(tblRace2025[[#This Row],[Points]]&gt;0,"Yes","No")</f>
        <v>No</v>
      </c>
      <c r="R18">
        <v>2025</v>
      </c>
    </row>
    <row r="19" spans="1:18" x14ac:dyDescent="0.45">
      <c r="A19" t="s">
        <v>11</v>
      </c>
      <c r="B19" t="s">
        <v>79</v>
      </c>
      <c r="C19" t="str">
        <f>IFERROR(VALUE(tblRace2025[[#This Row],[Position]]),"")</f>
        <v/>
      </c>
      <c r="D19">
        <v>55</v>
      </c>
      <c r="E19" t="s">
        <v>87</v>
      </c>
      <c r="F19" t="s">
        <v>34</v>
      </c>
      <c r="G19">
        <v>10</v>
      </c>
      <c r="H19">
        <v>0</v>
      </c>
      <c r="I19" t="s">
        <v>81</v>
      </c>
      <c r="J19">
        <v>0</v>
      </c>
      <c r="K19" t="s">
        <v>2</v>
      </c>
      <c r="L19" t="s">
        <v>88</v>
      </c>
      <c r="M19" t="str">
        <f>IFERROR(IF(VALUE(tblRace2025[[#This Row],[Position]])=1,"Yes","No"),"No")</f>
        <v>No</v>
      </c>
      <c r="N19" t="str">
        <f>IFERROR(IF(VALUE(tblRace2025[[#This Row],[Position]])&lt;=3,"Yes","No"),"No")</f>
        <v>No</v>
      </c>
      <c r="O19">
        <f>IFERROR(VALUE(tblRace2025[[#This Row],[Starting Grid]])-VALUE(tblRace2025[[#This Row],[Position]]),0)</f>
        <v>0</v>
      </c>
      <c r="P19" t="str">
        <f>IFERROR(IF(AND(VALUE(tblRace2025[[#This Row],[Starting Grid]])=1,VALUE(tblRace2025[[#This Row],[Position]])=1),"Yes","No"),"No")</f>
        <v>No</v>
      </c>
      <c r="Q19" t="str">
        <f>IF(tblRace2025[[#This Row],[Points]]&gt;0,"Yes","No")</f>
        <v>No</v>
      </c>
      <c r="R19">
        <v>2025</v>
      </c>
    </row>
    <row r="20" spans="1:18" x14ac:dyDescent="0.45">
      <c r="A20" t="s">
        <v>11</v>
      </c>
      <c r="B20" t="s">
        <v>79</v>
      </c>
      <c r="C20" t="str">
        <f>IFERROR(VALUE(tblRace2025[[#This Row],[Position]]),"")</f>
        <v/>
      </c>
      <c r="D20">
        <v>7</v>
      </c>
      <c r="E20" t="s">
        <v>89</v>
      </c>
      <c r="F20" t="s">
        <v>62</v>
      </c>
      <c r="G20">
        <v>14</v>
      </c>
      <c r="H20">
        <v>0</v>
      </c>
      <c r="I20" t="s">
        <v>81</v>
      </c>
      <c r="J20">
        <v>0</v>
      </c>
      <c r="K20" t="s">
        <v>2</v>
      </c>
      <c r="L20" t="s">
        <v>88</v>
      </c>
      <c r="M20" t="str">
        <f>IFERROR(IF(VALUE(tblRace2025[[#This Row],[Position]])=1,"Yes","No"),"No")</f>
        <v>No</v>
      </c>
      <c r="N20" t="str">
        <f>IFERROR(IF(VALUE(tblRace2025[[#This Row],[Position]])&lt;=3,"Yes","No"),"No")</f>
        <v>No</v>
      </c>
      <c r="O20">
        <f>IFERROR(VALUE(tblRace2025[[#This Row],[Starting Grid]])-VALUE(tblRace2025[[#This Row],[Position]]),0)</f>
        <v>0</v>
      </c>
      <c r="P20" t="str">
        <f>IFERROR(IF(AND(VALUE(tblRace2025[[#This Row],[Starting Grid]])=1,VALUE(tblRace2025[[#This Row],[Position]])=1),"Yes","No"),"No")</f>
        <v>No</v>
      </c>
      <c r="Q20" t="str">
        <f>IF(tblRace2025[[#This Row],[Points]]&gt;0,"Yes","No")</f>
        <v>No</v>
      </c>
      <c r="R20">
        <v>2025</v>
      </c>
    </row>
    <row r="21" spans="1:18" x14ac:dyDescent="0.45">
      <c r="A21" t="s">
        <v>11</v>
      </c>
      <c r="B21" t="s">
        <v>79</v>
      </c>
      <c r="C21" t="str">
        <f>IFERROR(VALUE(tblRace2025[[#This Row],[Position]]),"")</f>
        <v/>
      </c>
      <c r="D21">
        <v>6</v>
      </c>
      <c r="E21" t="s">
        <v>90</v>
      </c>
      <c r="F21" t="s">
        <v>67</v>
      </c>
      <c r="G21">
        <v>11</v>
      </c>
      <c r="H21">
        <v>0</v>
      </c>
      <c r="I21" t="s">
        <v>81</v>
      </c>
      <c r="J21">
        <v>0</v>
      </c>
      <c r="K21" t="s">
        <v>2</v>
      </c>
      <c r="L21" t="s">
        <v>88</v>
      </c>
      <c r="M21" t="str">
        <f>IFERROR(IF(VALUE(tblRace2025[[#This Row],[Position]])=1,"Yes","No"),"No")</f>
        <v>No</v>
      </c>
      <c r="N21" t="str">
        <f>IFERROR(IF(VALUE(tblRace2025[[#This Row],[Position]])&lt;=3,"Yes","No"),"No")</f>
        <v>No</v>
      </c>
      <c r="O21">
        <f>IFERROR(VALUE(tblRace2025[[#This Row],[Starting Grid]])-VALUE(tblRace2025[[#This Row],[Position]]),0)</f>
        <v>0</v>
      </c>
      <c r="P21" t="str">
        <f>IFERROR(IF(AND(VALUE(tblRace2025[[#This Row],[Starting Grid]])=1,VALUE(tblRace2025[[#This Row],[Position]])=1),"Yes","No"),"No")</f>
        <v>No</v>
      </c>
      <c r="Q21" t="str">
        <f>IF(tblRace2025[[#This Row],[Points]]&gt;0,"Yes","No")</f>
        <v>No</v>
      </c>
      <c r="R21">
        <v>2025</v>
      </c>
    </row>
    <row r="22" spans="1:18" x14ac:dyDescent="0.45">
      <c r="A22" t="s">
        <v>91</v>
      </c>
      <c r="B22" t="s">
        <v>12</v>
      </c>
      <c r="C22">
        <f>IFERROR(VALUE(tblRace2025[[#This Row],[Position]]),"")</f>
        <v>1</v>
      </c>
      <c r="D22">
        <v>81</v>
      </c>
      <c r="E22" t="s">
        <v>53</v>
      </c>
      <c r="F22" t="s">
        <v>14</v>
      </c>
      <c r="G22">
        <v>1</v>
      </c>
      <c r="H22">
        <v>56</v>
      </c>
      <c r="I22" t="s">
        <v>92</v>
      </c>
      <c r="J22">
        <v>25</v>
      </c>
      <c r="K22" t="s">
        <v>2</v>
      </c>
      <c r="L22" t="s">
        <v>93</v>
      </c>
      <c r="M22" t="str">
        <f>IFERROR(IF(VALUE(tblRace2025[[#This Row],[Position]])=1,"Yes","No"),"No")</f>
        <v>Yes</v>
      </c>
      <c r="N22" t="str">
        <f>IFERROR(IF(VALUE(tblRace2025[[#This Row],[Position]])&lt;=3,"Yes","No"),"No")</f>
        <v>Yes</v>
      </c>
      <c r="O22">
        <f>IFERROR(VALUE(tblRace2025[[#This Row],[Starting Grid]])-VALUE(tblRace2025[[#This Row],[Position]]),0)</f>
        <v>0</v>
      </c>
      <c r="P22" t="str">
        <f>IFERROR(IF(AND(VALUE(tblRace2025[[#This Row],[Starting Grid]])=1,VALUE(tblRace2025[[#This Row],[Position]])=1),"Yes","No"),"No")</f>
        <v>Yes</v>
      </c>
      <c r="Q22" t="str">
        <f>IF(tblRace2025[[#This Row],[Points]]&gt;0,"Yes","No")</f>
        <v>Yes</v>
      </c>
      <c r="R22">
        <v>2025</v>
      </c>
    </row>
    <row r="23" spans="1:18" x14ac:dyDescent="0.45">
      <c r="A23" t="s">
        <v>91</v>
      </c>
      <c r="B23" t="s">
        <v>18</v>
      </c>
      <c r="C23">
        <f>IFERROR(VALUE(tblRace2025[[#This Row],[Position]]),"")</f>
        <v>2</v>
      </c>
      <c r="D23">
        <v>4</v>
      </c>
      <c r="E23" t="s">
        <v>13</v>
      </c>
      <c r="F23" t="s">
        <v>14</v>
      </c>
      <c r="G23">
        <v>3</v>
      </c>
      <c r="H23">
        <v>56</v>
      </c>
      <c r="I23" t="s">
        <v>94</v>
      </c>
      <c r="J23">
        <v>18</v>
      </c>
      <c r="K23" t="s">
        <v>2</v>
      </c>
      <c r="L23" t="s">
        <v>95</v>
      </c>
      <c r="M23" t="str">
        <f>IFERROR(IF(VALUE(tblRace2025[[#This Row],[Position]])=1,"Yes","No"),"No")</f>
        <v>No</v>
      </c>
      <c r="N23" t="str">
        <f>IFERROR(IF(VALUE(tblRace2025[[#This Row],[Position]])&lt;=3,"Yes","No"),"No")</f>
        <v>Yes</v>
      </c>
      <c r="O23">
        <f>IFERROR(VALUE(tblRace2025[[#This Row],[Starting Grid]])-VALUE(tblRace2025[[#This Row],[Position]]),0)</f>
        <v>1</v>
      </c>
      <c r="P23" t="str">
        <f>IFERROR(IF(AND(VALUE(tblRace2025[[#This Row],[Starting Grid]])=1,VALUE(tblRace2025[[#This Row],[Position]])=1),"Yes","No"),"No")</f>
        <v>No</v>
      </c>
      <c r="Q23" t="str">
        <f>IF(tblRace2025[[#This Row],[Points]]&gt;0,"Yes","No")</f>
        <v>Yes</v>
      </c>
      <c r="R23">
        <v>2025</v>
      </c>
    </row>
    <row r="24" spans="1:18" x14ac:dyDescent="0.45">
      <c r="A24" t="s">
        <v>91</v>
      </c>
      <c r="B24" t="s">
        <v>23</v>
      </c>
      <c r="C24">
        <f>IFERROR(VALUE(tblRace2025[[#This Row],[Position]]),"")</f>
        <v>3</v>
      </c>
      <c r="D24">
        <v>63</v>
      </c>
      <c r="E24" t="s">
        <v>24</v>
      </c>
      <c r="F24" t="s">
        <v>25</v>
      </c>
      <c r="G24">
        <v>2</v>
      </c>
      <c r="H24">
        <v>56</v>
      </c>
      <c r="I24" t="s">
        <v>96</v>
      </c>
      <c r="J24">
        <v>15</v>
      </c>
      <c r="K24" t="s">
        <v>2</v>
      </c>
      <c r="L24" t="s">
        <v>97</v>
      </c>
      <c r="M24" t="str">
        <f>IFERROR(IF(VALUE(tblRace2025[[#This Row],[Position]])=1,"Yes","No"),"No")</f>
        <v>No</v>
      </c>
      <c r="N24" t="str">
        <f>IFERROR(IF(VALUE(tblRace2025[[#This Row],[Position]])&lt;=3,"Yes","No"),"No")</f>
        <v>Yes</v>
      </c>
      <c r="O24">
        <f>IFERROR(VALUE(tblRace2025[[#This Row],[Starting Grid]])-VALUE(tblRace2025[[#This Row],[Position]]),0)</f>
        <v>-1</v>
      </c>
      <c r="P24" t="str">
        <f>IFERROR(IF(AND(VALUE(tblRace2025[[#This Row],[Starting Grid]])=1,VALUE(tblRace2025[[#This Row],[Position]])=1),"Yes","No"),"No")</f>
        <v>No</v>
      </c>
      <c r="Q24" t="str">
        <f>IF(tblRace2025[[#This Row],[Points]]&gt;0,"Yes","No")</f>
        <v>Yes</v>
      </c>
      <c r="R24">
        <v>2025</v>
      </c>
    </row>
    <row r="25" spans="1:18" x14ac:dyDescent="0.45">
      <c r="A25" t="s">
        <v>91</v>
      </c>
      <c r="B25" t="s">
        <v>28</v>
      </c>
      <c r="C25">
        <f>IFERROR(VALUE(tblRace2025[[#This Row],[Position]]),"")</f>
        <v>4</v>
      </c>
      <c r="D25">
        <v>1</v>
      </c>
      <c r="E25" t="s">
        <v>19</v>
      </c>
      <c r="F25" t="s">
        <v>20</v>
      </c>
      <c r="G25">
        <v>4</v>
      </c>
      <c r="H25">
        <v>56</v>
      </c>
      <c r="I25" t="s">
        <v>98</v>
      </c>
      <c r="J25">
        <v>12</v>
      </c>
      <c r="K25" t="s">
        <v>2</v>
      </c>
      <c r="L25" t="s">
        <v>99</v>
      </c>
      <c r="M25" t="str">
        <f>IFERROR(IF(VALUE(tblRace2025[[#This Row],[Position]])=1,"Yes","No"),"No")</f>
        <v>No</v>
      </c>
      <c r="N25" t="str">
        <f>IFERROR(IF(VALUE(tblRace2025[[#This Row],[Position]])&lt;=3,"Yes","No"),"No")</f>
        <v>No</v>
      </c>
      <c r="O25">
        <f>IFERROR(VALUE(tblRace2025[[#This Row],[Starting Grid]])-VALUE(tblRace2025[[#This Row],[Position]]),0)</f>
        <v>0</v>
      </c>
      <c r="P25" t="str">
        <f>IFERROR(IF(AND(VALUE(tblRace2025[[#This Row],[Starting Grid]])=1,VALUE(tblRace2025[[#This Row],[Position]])=1),"Yes","No"),"No")</f>
        <v>No</v>
      </c>
      <c r="Q25" t="str">
        <f>IF(tblRace2025[[#This Row],[Points]]&gt;0,"Yes","No")</f>
        <v>Yes</v>
      </c>
      <c r="R25">
        <v>2025</v>
      </c>
    </row>
    <row r="26" spans="1:18" x14ac:dyDescent="0.45">
      <c r="A26" t="s">
        <v>91</v>
      </c>
      <c r="B26" t="s">
        <v>32</v>
      </c>
      <c r="C26">
        <f>IFERROR(VALUE(tblRace2025[[#This Row],[Position]]),"")</f>
        <v>5</v>
      </c>
      <c r="D26">
        <v>31</v>
      </c>
      <c r="E26" t="s">
        <v>71</v>
      </c>
      <c r="F26" t="s">
        <v>72</v>
      </c>
      <c r="G26">
        <v>11</v>
      </c>
      <c r="H26">
        <v>56</v>
      </c>
      <c r="I26" t="s">
        <v>100</v>
      </c>
      <c r="J26">
        <v>10</v>
      </c>
      <c r="K26" t="s">
        <v>2</v>
      </c>
      <c r="L26" t="s">
        <v>101</v>
      </c>
      <c r="M26" t="str">
        <f>IFERROR(IF(VALUE(tblRace2025[[#This Row],[Position]])=1,"Yes","No"),"No")</f>
        <v>No</v>
      </c>
      <c r="N26" t="str">
        <f>IFERROR(IF(VALUE(tblRace2025[[#This Row],[Position]])&lt;=3,"Yes","No"),"No")</f>
        <v>No</v>
      </c>
      <c r="O26">
        <f>IFERROR(VALUE(tblRace2025[[#This Row],[Starting Grid]])-VALUE(tblRace2025[[#This Row],[Position]]),0)</f>
        <v>6</v>
      </c>
      <c r="P26" t="str">
        <f>IFERROR(IF(AND(VALUE(tblRace2025[[#This Row],[Starting Grid]])=1,VALUE(tblRace2025[[#This Row],[Position]])=1),"Yes","No"),"No")</f>
        <v>No</v>
      </c>
      <c r="Q26" t="str">
        <f>IF(tblRace2025[[#This Row],[Points]]&gt;0,"Yes","No")</f>
        <v>Yes</v>
      </c>
      <c r="R26">
        <v>2025</v>
      </c>
    </row>
    <row r="27" spans="1:18" x14ac:dyDescent="0.45">
      <c r="A27" t="s">
        <v>91</v>
      </c>
      <c r="B27" t="s">
        <v>37</v>
      </c>
      <c r="C27">
        <f>IFERROR(VALUE(tblRace2025[[#This Row],[Position]]),"")</f>
        <v>6</v>
      </c>
      <c r="D27">
        <v>12</v>
      </c>
      <c r="E27" t="s">
        <v>29</v>
      </c>
      <c r="F27" t="s">
        <v>25</v>
      </c>
      <c r="G27">
        <v>8</v>
      </c>
      <c r="H27">
        <v>56</v>
      </c>
      <c r="I27" t="s">
        <v>102</v>
      </c>
      <c r="J27">
        <v>8</v>
      </c>
      <c r="K27" t="s">
        <v>2</v>
      </c>
      <c r="L27" t="s">
        <v>103</v>
      </c>
      <c r="M27" t="str">
        <f>IFERROR(IF(VALUE(tblRace2025[[#This Row],[Position]])=1,"Yes","No"),"No")</f>
        <v>No</v>
      </c>
      <c r="N27" t="str">
        <f>IFERROR(IF(VALUE(tblRace2025[[#This Row],[Position]])&lt;=3,"Yes","No"),"No")</f>
        <v>No</v>
      </c>
      <c r="O27">
        <f>IFERROR(VALUE(tblRace2025[[#This Row],[Starting Grid]])-VALUE(tblRace2025[[#This Row],[Position]]),0)</f>
        <v>2</v>
      </c>
      <c r="P27" t="str">
        <f>IFERROR(IF(AND(VALUE(tblRace2025[[#This Row],[Starting Grid]])=1,VALUE(tblRace2025[[#This Row],[Position]])=1),"Yes","No"),"No")</f>
        <v>No</v>
      </c>
      <c r="Q27" t="str">
        <f>IF(tblRace2025[[#This Row],[Points]]&gt;0,"Yes","No")</f>
        <v>Yes</v>
      </c>
      <c r="R27">
        <v>2025</v>
      </c>
    </row>
    <row r="28" spans="1:18" x14ac:dyDescent="0.45">
      <c r="A28" t="s">
        <v>91</v>
      </c>
      <c r="B28" t="s">
        <v>42</v>
      </c>
      <c r="C28">
        <f>IFERROR(VALUE(tblRace2025[[#This Row],[Position]]),"")</f>
        <v>7</v>
      </c>
      <c r="D28">
        <v>23</v>
      </c>
      <c r="E28" t="s">
        <v>33</v>
      </c>
      <c r="F28" t="s">
        <v>34</v>
      </c>
      <c r="G28">
        <v>10</v>
      </c>
      <c r="H28">
        <v>56</v>
      </c>
      <c r="I28" t="s">
        <v>104</v>
      </c>
      <c r="J28">
        <v>6</v>
      </c>
      <c r="K28" t="s">
        <v>2</v>
      </c>
      <c r="L28" t="s">
        <v>105</v>
      </c>
      <c r="M28" t="str">
        <f>IFERROR(IF(VALUE(tblRace2025[[#This Row],[Position]])=1,"Yes","No"),"No")</f>
        <v>No</v>
      </c>
      <c r="N28" t="str">
        <f>IFERROR(IF(VALUE(tblRace2025[[#This Row],[Position]])&lt;=3,"Yes","No"),"No")</f>
        <v>No</v>
      </c>
      <c r="O28">
        <f>IFERROR(VALUE(tblRace2025[[#This Row],[Starting Grid]])-VALUE(tblRace2025[[#This Row],[Position]]),0)</f>
        <v>3</v>
      </c>
      <c r="P28" t="str">
        <f>IFERROR(IF(AND(VALUE(tblRace2025[[#This Row],[Starting Grid]])=1,VALUE(tblRace2025[[#This Row],[Position]])=1),"Yes","No"),"No")</f>
        <v>No</v>
      </c>
      <c r="Q28" t="str">
        <f>IF(tblRace2025[[#This Row],[Points]]&gt;0,"Yes","No")</f>
        <v>Yes</v>
      </c>
      <c r="R28">
        <v>2025</v>
      </c>
    </row>
    <row r="29" spans="1:18" x14ac:dyDescent="0.45">
      <c r="A29" t="s">
        <v>91</v>
      </c>
      <c r="B29" t="s">
        <v>47</v>
      </c>
      <c r="C29">
        <f>IFERROR(VALUE(tblRace2025[[#This Row],[Position]]),"")</f>
        <v>8</v>
      </c>
      <c r="D29">
        <v>87</v>
      </c>
      <c r="E29" t="s">
        <v>76</v>
      </c>
      <c r="F29" t="s">
        <v>72</v>
      </c>
      <c r="G29">
        <v>17</v>
      </c>
      <c r="H29">
        <v>56</v>
      </c>
      <c r="I29" t="s">
        <v>106</v>
      </c>
      <c r="J29">
        <v>4</v>
      </c>
      <c r="K29" t="s">
        <v>2</v>
      </c>
      <c r="L29" t="s">
        <v>107</v>
      </c>
      <c r="M29" t="str">
        <f>IFERROR(IF(VALUE(tblRace2025[[#This Row],[Position]])=1,"Yes","No"),"No")</f>
        <v>No</v>
      </c>
      <c r="N29" t="str">
        <f>IFERROR(IF(VALUE(tblRace2025[[#This Row],[Position]])&lt;=3,"Yes","No"),"No")</f>
        <v>No</v>
      </c>
      <c r="O29">
        <f>IFERROR(VALUE(tblRace2025[[#This Row],[Starting Grid]])-VALUE(tblRace2025[[#This Row],[Position]]),0)</f>
        <v>9</v>
      </c>
      <c r="P29" t="str">
        <f>IFERROR(IF(AND(VALUE(tblRace2025[[#This Row],[Starting Grid]])=1,VALUE(tblRace2025[[#This Row],[Position]])=1),"Yes","No"),"No")</f>
        <v>No</v>
      </c>
      <c r="Q29" t="str">
        <f>IF(tblRace2025[[#This Row],[Points]]&gt;0,"Yes","No")</f>
        <v>Yes</v>
      </c>
      <c r="R29">
        <v>2025</v>
      </c>
    </row>
    <row r="30" spans="1:18" x14ac:dyDescent="0.45">
      <c r="A30" t="s">
        <v>91</v>
      </c>
      <c r="B30" t="s">
        <v>52</v>
      </c>
      <c r="C30">
        <f>IFERROR(VALUE(tblRace2025[[#This Row],[Position]]),"")</f>
        <v>9</v>
      </c>
      <c r="D30">
        <v>18</v>
      </c>
      <c r="E30" t="s">
        <v>38</v>
      </c>
      <c r="F30" t="s">
        <v>39</v>
      </c>
      <c r="G30">
        <v>14</v>
      </c>
      <c r="H30">
        <v>56</v>
      </c>
      <c r="I30" t="s">
        <v>108</v>
      </c>
      <c r="J30">
        <v>2</v>
      </c>
      <c r="K30" t="s">
        <v>2</v>
      </c>
      <c r="L30" t="s">
        <v>109</v>
      </c>
      <c r="M30" t="str">
        <f>IFERROR(IF(VALUE(tblRace2025[[#This Row],[Position]])=1,"Yes","No"),"No")</f>
        <v>No</v>
      </c>
      <c r="N30" t="str">
        <f>IFERROR(IF(VALUE(tblRace2025[[#This Row],[Position]])&lt;=3,"Yes","No"),"No")</f>
        <v>No</v>
      </c>
      <c r="O30">
        <f>IFERROR(VALUE(tblRace2025[[#This Row],[Starting Grid]])-VALUE(tblRace2025[[#This Row],[Position]]),0)</f>
        <v>5</v>
      </c>
      <c r="P30" t="str">
        <f>IFERROR(IF(AND(VALUE(tblRace2025[[#This Row],[Starting Grid]])=1,VALUE(tblRace2025[[#This Row],[Position]])=1),"Yes","No"),"No")</f>
        <v>No</v>
      </c>
      <c r="Q30" t="str">
        <f>IF(tblRace2025[[#This Row],[Points]]&gt;0,"Yes","No")</f>
        <v>Yes</v>
      </c>
      <c r="R30">
        <v>2025</v>
      </c>
    </row>
    <row r="31" spans="1:18" x14ac:dyDescent="0.45">
      <c r="A31" t="s">
        <v>91</v>
      </c>
      <c r="B31" t="s">
        <v>56</v>
      </c>
      <c r="C31">
        <f>IFERROR(VALUE(tblRace2025[[#This Row],[Position]]),"")</f>
        <v>10</v>
      </c>
      <c r="D31">
        <v>55</v>
      </c>
      <c r="E31" t="s">
        <v>87</v>
      </c>
      <c r="F31" t="s">
        <v>34</v>
      </c>
      <c r="G31">
        <v>15</v>
      </c>
      <c r="H31">
        <v>56</v>
      </c>
      <c r="I31" t="s">
        <v>110</v>
      </c>
      <c r="J31">
        <v>1</v>
      </c>
      <c r="K31" t="s">
        <v>2</v>
      </c>
      <c r="L31" t="s">
        <v>111</v>
      </c>
      <c r="M31" t="str">
        <f>IFERROR(IF(VALUE(tblRace2025[[#This Row],[Position]])=1,"Yes","No"),"No")</f>
        <v>No</v>
      </c>
      <c r="N31" t="str">
        <f>IFERROR(IF(VALUE(tblRace2025[[#This Row],[Position]])&lt;=3,"Yes","No"),"No")</f>
        <v>No</v>
      </c>
      <c r="O31">
        <f>IFERROR(VALUE(tblRace2025[[#This Row],[Starting Grid]])-VALUE(tblRace2025[[#This Row],[Position]]),0)</f>
        <v>5</v>
      </c>
      <c r="P31" t="str">
        <f>IFERROR(IF(AND(VALUE(tblRace2025[[#This Row],[Starting Grid]])=1,VALUE(tblRace2025[[#This Row],[Position]])=1),"Yes","No"),"No")</f>
        <v>No</v>
      </c>
      <c r="Q31" t="str">
        <f>IF(tblRace2025[[#This Row],[Points]]&gt;0,"Yes","No")</f>
        <v>Yes</v>
      </c>
      <c r="R31">
        <v>2025</v>
      </c>
    </row>
    <row r="32" spans="1:18" x14ac:dyDescent="0.45">
      <c r="A32" t="s">
        <v>91</v>
      </c>
      <c r="B32" t="s">
        <v>60</v>
      </c>
      <c r="C32">
        <f>IFERROR(VALUE(tblRace2025[[#This Row],[Position]]),"")</f>
        <v>11</v>
      </c>
      <c r="D32">
        <v>6</v>
      </c>
      <c r="E32" t="s">
        <v>90</v>
      </c>
      <c r="F32" t="s">
        <v>67</v>
      </c>
      <c r="G32">
        <v>7</v>
      </c>
      <c r="H32">
        <v>56</v>
      </c>
      <c r="I32" t="s">
        <v>112</v>
      </c>
      <c r="J32">
        <v>0</v>
      </c>
      <c r="K32" t="s">
        <v>2</v>
      </c>
      <c r="L32" t="s">
        <v>113</v>
      </c>
      <c r="M32" t="str">
        <f>IFERROR(IF(VALUE(tblRace2025[[#This Row],[Position]])=1,"Yes","No"),"No")</f>
        <v>No</v>
      </c>
      <c r="N32" t="str">
        <f>IFERROR(IF(VALUE(tblRace2025[[#This Row],[Position]])&lt;=3,"Yes","No"),"No")</f>
        <v>No</v>
      </c>
      <c r="O32">
        <f>IFERROR(VALUE(tblRace2025[[#This Row],[Starting Grid]])-VALUE(tblRace2025[[#This Row],[Position]]),0)</f>
        <v>-4</v>
      </c>
      <c r="P32" t="str">
        <f>IFERROR(IF(AND(VALUE(tblRace2025[[#This Row],[Starting Grid]])=1,VALUE(tblRace2025[[#This Row],[Position]])=1),"Yes","No"),"No")</f>
        <v>No</v>
      </c>
      <c r="Q32" t="str">
        <f>IF(tblRace2025[[#This Row],[Points]]&gt;0,"Yes","No")</f>
        <v>No</v>
      </c>
      <c r="R32">
        <v>2025</v>
      </c>
    </row>
    <row r="33" spans="1:18" x14ac:dyDescent="0.45">
      <c r="A33" t="s">
        <v>91</v>
      </c>
      <c r="B33" t="s">
        <v>65</v>
      </c>
      <c r="C33">
        <f>IFERROR(VALUE(tblRace2025[[#This Row],[Position]]),"")</f>
        <v>12</v>
      </c>
      <c r="D33">
        <v>30</v>
      </c>
      <c r="E33" t="s">
        <v>80</v>
      </c>
      <c r="F33" t="s">
        <v>20</v>
      </c>
      <c r="G33">
        <v>20</v>
      </c>
      <c r="H33">
        <v>56</v>
      </c>
      <c r="I33" t="s">
        <v>114</v>
      </c>
      <c r="J33">
        <v>0</v>
      </c>
      <c r="K33" t="s">
        <v>2</v>
      </c>
      <c r="L33" t="s">
        <v>115</v>
      </c>
      <c r="M33" t="str">
        <f>IFERROR(IF(VALUE(tblRace2025[[#This Row],[Position]])=1,"Yes","No"),"No")</f>
        <v>No</v>
      </c>
      <c r="N33" t="str">
        <f>IFERROR(IF(VALUE(tblRace2025[[#This Row],[Position]])&lt;=3,"Yes","No"),"No")</f>
        <v>No</v>
      </c>
      <c r="O33">
        <f>IFERROR(VALUE(tblRace2025[[#This Row],[Starting Grid]])-VALUE(tblRace2025[[#This Row],[Position]]),0)</f>
        <v>8</v>
      </c>
      <c r="P33" t="str">
        <f>IFERROR(IF(AND(VALUE(tblRace2025[[#This Row],[Starting Grid]])=1,VALUE(tblRace2025[[#This Row],[Position]])=1),"Yes","No"),"No")</f>
        <v>No</v>
      </c>
      <c r="Q33" t="str">
        <f>IF(tblRace2025[[#This Row],[Points]]&gt;0,"Yes","No")</f>
        <v>No</v>
      </c>
      <c r="R33">
        <v>2025</v>
      </c>
    </row>
    <row r="34" spans="1:18" x14ac:dyDescent="0.45">
      <c r="A34" t="s">
        <v>91</v>
      </c>
      <c r="B34" t="s">
        <v>70</v>
      </c>
      <c r="C34">
        <f>IFERROR(VALUE(tblRace2025[[#This Row],[Position]]),"")</f>
        <v>13</v>
      </c>
      <c r="D34">
        <v>7</v>
      </c>
      <c r="E34" t="s">
        <v>89</v>
      </c>
      <c r="F34" t="s">
        <v>62</v>
      </c>
      <c r="G34">
        <v>18</v>
      </c>
      <c r="H34">
        <v>56</v>
      </c>
      <c r="I34" t="s">
        <v>116</v>
      </c>
      <c r="J34">
        <v>0</v>
      </c>
      <c r="K34" t="s">
        <v>2</v>
      </c>
      <c r="L34" t="s">
        <v>117</v>
      </c>
      <c r="M34" t="str">
        <f>IFERROR(IF(VALUE(tblRace2025[[#This Row],[Position]])=1,"Yes","No"),"No")</f>
        <v>No</v>
      </c>
      <c r="N34" t="str">
        <f>IFERROR(IF(VALUE(tblRace2025[[#This Row],[Position]])&lt;=3,"Yes","No"),"No")</f>
        <v>No</v>
      </c>
      <c r="O34">
        <f>IFERROR(VALUE(tblRace2025[[#This Row],[Starting Grid]])-VALUE(tblRace2025[[#This Row],[Position]]),0)</f>
        <v>5</v>
      </c>
      <c r="P34" t="str">
        <f>IFERROR(IF(AND(VALUE(tblRace2025[[#This Row],[Starting Grid]])=1,VALUE(tblRace2025[[#This Row],[Position]])=1),"Yes","No"),"No")</f>
        <v>No</v>
      </c>
      <c r="Q34" t="str">
        <f>IF(tblRace2025[[#This Row],[Points]]&gt;0,"Yes","No")</f>
        <v>No</v>
      </c>
      <c r="R34">
        <v>2025</v>
      </c>
    </row>
    <row r="35" spans="1:18" x14ac:dyDescent="0.45">
      <c r="A35" t="s">
        <v>91</v>
      </c>
      <c r="B35" t="s">
        <v>75</v>
      </c>
      <c r="C35">
        <f>IFERROR(VALUE(tblRace2025[[#This Row],[Position]]),"")</f>
        <v>14</v>
      </c>
      <c r="D35">
        <v>5</v>
      </c>
      <c r="E35" t="s">
        <v>83</v>
      </c>
      <c r="F35" t="s">
        <v>44</v>
      </c>
      <c r="G35">
        <v>19</v>
      </c>
      <c r="H35">
        <v>55</v>
      </c>
      <c r="I35" t="s">
        <v>118</v>
      </c>
      <c r="J35">
        <v>0</v>
      </c>
      <c r="K35" t="s">
        <v>2</v>
      </c>
      <c r="L35" t="s">
        <v>119</v>
      </c>
      <c r="M35" t="str">
        <f>IFERROR(IF(VALUE(tblRace2025[[#This Row],[Position]])=1,"Yes","No"),"No")</f>
        <v>No</v>
      </c>
      <c r="N35" t="str">
        <f>IFERROR(IF(VALUE(tblRace2025[[#This Row],[Position]])&lt;=3,"Yes","No"),"No")</f>
        <v>No</v>
      </c>
      <c r="O35">
        <f>IFERROR(VALUE(tblRace2025[[#This Row],[Starting Grid]])-VALUE(tblRace2025[[#This Row],[Position]]),0)</f>
        <v>5</v>
      </c>
      <c r="P35" t="str">
        <f>IFERROR(IF(AND(VALUE(tblRace2025[[#This Row],[Starting Grid]])=1,VALUE(tblRace2025[[#This Row],[Position]])=1),"Yes","No"),"No")</f>
        <v>No</v>
      </c>
      <c r="Q35" t="str">
        <f>IF(tblRace2025[[#This Row],[Points]]&gt;0,"Yes","No")</f>
        <v>No</v>
      </c>
      <c r="R35">
        <v>2025</v>
      </c>
    </row>
    <row r="36" spans="1:18" x14ac:dyDescent="0.45">
      <c r="A36" t="s">
        <v>91</v>
      </c>
      <c r="B36" t="s">
        <v>120</v>
      </c>
      <c r="C36">
        <f>IFERROR(VALUE(tblRace2025[[#This Row],[Position]]),"")</f>
        <v>15</v>
      </c>
      <c r="D36">
        <v>27</v>
      </c>
      <c r="E36" t="s">
        <v>43</v>
      </c>
      <c r="F36" t="s">
        <v>44</v>
      </c>
      <c r="G36">
        <v>12</v>
      </c>
      <c r="H36">
        <v>55</v>
      </c>
      <c r="I36" t="s">
        <v>118</v>
      </c>
      <c r="J36">
        <v>0</v>
      </c>
      <c r="K36" t="s">
        <v>2</v>
      </c>
      <c r="L36" t="s">
        <v>121</v>
      </c>
      <c r="M36" t="str">
        <f>IFERROR(IF(VALUE(tblRace2025[[#This Row],[Position]])=1,"Yes","No"),"No")</f>
        <v>No</v>
      </c>
      <c r="N36" t="str">
        <f>IFERROR(IF(VALUE(tblRace2025[[#This Row],[Position]])&lt;=3,"Yes","No"),"No")</f>
        <v>No</v>
      </c>
      <c r="O36">
        <f>IFERROR(VALUE(tblRace2025[[#This Row],[Starting Grid]])-VALUE(tblRace2025[[#This Row],[Position]]),0)</f>
        <v>-3</v>
      </c>
      <c r="P36" t="str">
        <f>IFERROR(IF(AND(VALUE(tblRace2025[[#This Row],[Starting Grid]])=1,VALUE(tblRace2025[[#This Row],[Position]])=1),"Yes","No"),"No")</f>
        <v>No</v>
      </c>
      <c r="Q36" t="str">
        <f>IF(tblRace2025[[#This Row],[Points]]&gt;0,"Yes","No")</f>
        <v>No</v>
      </c>
      <c r="R36">
        <v>2025</v>
      </c>
    </row>
    <row r="37" spans="1:18" x14ac:dyDescent="0.45">
      <c r="A37" t="s">
        <v>91</v>
      </c>
      <c r="B37" t="s">
        <v>122</v>
      </c>
      <c r="C37">
        <f>IFERROR(VALUE(tblRace2025[[#This Row],[Position]]),"")</f>
        <v>16</v>
      </c>
      <c r="D37">
        <v>22</v>
      </c>
      <c r="E37" t="s">
        <v>66</v>
      </c>
      <c r="F37" t="s">
        <v>67</v>
      </c>
      <c r="G37">
        <v>9</v>
      </c>
      <c r="H37">
        <v>55</v>
      </c>
      <c r="I37" t="s">
        <v>118</v>
      </c>
      <c r="J37">
        <v>0</v>
      </c>
      <c r="K37" t="s">
        <v>2</v>
      </c>
      <c r="L37" t="s">
        <v>123</v>
      </c>
      <c r="M37" t="str">
        <f>IFERROR(IF(VALUE(tblRace2025[[#This Row],[Position]])=1,"Yes","No"),"No")</f>
        <v>No</v>
      </c>
      <c r="N37" t="str">
        <f>IFERROR(IF(VALUE(tblRace2025[[#This Row],[Position]])&lt;=3,"Yes","No"),"No")</f>
        <v>No</v>
      </c>
      <c r="O37">
        <f>IFERROR(VALUE(tblRace2025[[#This Row],[Starting Grid]])-VALUE(tblRace2025[[#This Row],[Position]]),0)</f>
        <v>-7</v>
      </c>
      <c r="P37" t="str">
        <f>IFERROR(IF(AND(VALUE(tblRace2025[[#This Row],[Starting Grid]])=1,VALUE(tblRace2025[[#This Row],[Position]])=1),"Yes","No"),"No")</f>
        <v>No</v>
      </c>
      <c r="Q37" t="str">
        <f>IF(tblRace2025[[#This Row],[Points]]&gt;0,"Yes","No")</f>
        <v>No</v>
      </c>
      <c r="R37">
        <v>2025</v>
      </c>
    </row>
    <row r="38" spans="1:18" x14ac:dyDescent="0.45">
      <c r="A38" t="s">
        <v>91</v>
      </c>
      <c r="B38" t="s">
        <v>79</v>
      </c>
      <c r="C38" t="str">
        <f>IFERROR(VALUE(tblRace2025[[#This Row],[Position]]),"")</f>
        <v/>
      </c>
      <c r="D38">
        <v>14</v>
      </c>
      <c r="E38" t="s">
        <v>85</v>
      </c>
      <c r="F38" t="s">
        <v>39</v>
      </c>
      <c r="G38">
        <v>13</v>
      </c>
      <c r="H38">
        <v>4</v>
      </c>
      <c r="I38" t="s">
        <v>81</v>
      </c>
      <c r="J38">
        <v>0</v>
      </c>
      <c r="K38" t="s">
        <v>2</v>
      </c>
      <c r="L38" t="s">
        <v>124</v>
      </c>
      <c r="M38" t="str">
        <f>IFERROR(IF(VALUE(tblRace2025[[#This Row],[Position]])=1,"Yes","No"),"No")</f>
        <v>No</v>
      </c>
      <c r="N38" t="str">
        <f>IFERROR(IF(VALUE(tblRace2025[[#This Row],[Position]])&lt;=3,"Yes","No"),"No")</f>
        <v>No</v>
      </c>
      <c r="O38">
        <f>IFERROR(VALUE(tblRace2025[[#This Row],[Starting Grid]])-VALUE(tblRace2025[[#This Row],[Position]]),0)</f>
        <v>0</v>
      </c>
      <c r="P38" t="str">
        <f>IFERROR(IF(AND(VALUE(tblRace2025[[#This Row],[Starting Grid]])=1,VALUE(tblRace2025[[#This Row],[Position]])=1),"Yes","No"),"No")</f>
        <v>No</v>
      </c>
      <c r="Q38" t="str">
        <f>IF(tblRace2025[[#This Row],[Points]]&gt;0,"Yes","No")</f>
        <v>No</v>
      </c>
      <c r="R38">
        <v>2025</v>
      </c>
    </row>
    <row r="39" spans="1:18" x14ac:dyDescent="0.45">
      <c r="A39" t="s">
        <v>91</v>
      </c>
      <c r="B39" t="s">
        <v>125</v>
      </c>
      <c r="C39" t="str">
        <f>IFERROR(VALUE(tblRace2025[[#This Row],[Position]]),"")</f>
        <v/>
      </c>
      <c r="D39">
        <v>16</v>
      </c>
      <c r="E39" t="s">
        <v>48</v>
      </c>
      <c r="F39" t="s">
        <v>49</v>
      </c>
      <c r="G39">
        <v>6</v>
      </c>
      <c r="H39">
        <v>0</v>
      </c>
      <c r="I39" t="s">
        <v>126</v>
      </c>
      <c r="J39">
        <v>0</v>
      </c>
      <c r="K39" t="s">
        <v>2</v>
      </c>
      <c r="L39" t="s">
        <v>127</v>
      </c>
      <c r="M39" t="str">
        <f>IFERROR(IF(VALUE(tblRace2025[[#This Row],[Position]])=1,"Yes","No"),"No")</f>
        <v>No</v>
      </c>
      <c r="N39" t="str">
        <f>IFERROR(IF(VALUE(tblRace2025[[#This Row],[Position]])&lt;=3,"Yes","No"),"No")</f>
        <v>No</v>
      </c>
      <c r="O39">
        <f>IFERROR(VALUE(tblRace2025[[#This Row],[Starting Grid]])-VALUE(tblRace2025[[#This Row],[Position]]),0)</f>
        <v>0</v>
      </c>
      <c r="P39" t="str">
        <f>IFERROR(IF(AND(VALUE(tblRace2025[[#This Row],[Starting Grid]])=1,VALUE(tblRace2025[[#This Row],[Position]])=1),"Yes","No"),"No")</f>
        <v>No</v>
      </c>
      <c r="Q39" t="str">
        <f>IF(tblRace2025[[#This Row],[Points]]&gt;0,"Yes","No")</f>
        <v>No</v>
      </c>
      <c r="R39">
        <v>2025</v>
      </c>
    </row>
    <row r="40" spans="1:18" x14ac:dyDescent="0.45">
      <c r="A40" t="s">
        <v>91</v>
      </c>
      <c r="B40" t="s">
        <v>125</v>
      </c>
      <c r="C40" t="str">
        <f>IFERROR(VALUE(tblRace2025[[#This Row],[Position]]),"")</f>
        <v/>
      </c>
      <c r="D40">
        <v>44</v>
      </c>
      <c r="E40" t="s">
        <v>57</v>
      </c>
      <c r="F40" t="s">
        <v>49</v>
      </c>
      <c r="G40">
        <v>5</v>
      </c>
      <c r="H40">
        <v>0</v>
      </c>
      <c r="I40" t="s">
        <v>126</v>
      </c>
      <c r="J40">
        <v>0</v>
      </c>
      <c r="K40" t="s">
        <v>16</v>
      </c>
      <c r="L40" t="s">
        <v>128</v>
      </c>
      <c r="M40" t="str">
        <f>IFERROR(IF(VALUE(tblRace2025[[#This Row],[Position]])=1,"Yes","No"),"No")</f>
        <v>No</v>
      </c>
      <c r="N40" t="str">
        <f>IFERROR(IF(VALUE(tblRace2025[[#This Row],[Position]])&lt;=3,"Yes","No"),"No")</f>
        <v>No</v>
      </c>
      <c r="O40">
        <f>IFERROR(VALUE(tblRace2025[[#This Row],[Starting Grid]])-VALUE(tblRace2025[[#This Row],[Position]]),0)</f>
        <v>0</v>
      </c>
      <c r="P40" t="str">
        <f>IFERROR(IF(AND(VALUE(tblRace2025[[#This Row],[Starting Grid]])=1,VALUE(tblRace2025[[#This Row],[Position]])=1),"Yes","No"),"No")</f>
        <v>No</v>
      </c>
      <c r="Q40" t="str">
        <f>IF(tblRace2025[[#This Row],[Points]]&gt;0,"Yes","No")</f>
        <v>No</v>
      </c>
      <c r="R40">
        <v>2025</v>
      </c>
    </row>
    <row r="41" spans="1:18" x14ac:dyDescent="0.45">
      <c r="A41" t="s">
        <v>91</v>
      </c>
      <c r="B41" t="s">
        <v>125</v>
      </c>
      <c r="C41" t="str">
        <f>IFERROR(VALUE(tblRace2025[[#This Row],[Position]]),"")</f>
        <v/>
      </c>
      <c r="D41">
        <v>10</v>
      </c>
      <c r="E41" t="s">
        <v>61</v>
      </c>
      <c r="F41" t="s">
        <v>62</v>
      </c>
      <c r="G41">
        <v>16</v>
      </c>
      <c r="H41">
        <v>0</v>
      </c>
      <c r="I41" t="s">
        <v>126</v>
      </c>
      <c r="J41">
        <v>0</v>
      </c>
      <c r="K41" t="s">
        <v>2</v>
      </c>
      <c r="L41" t="s">
        <v>129</v>
      </c>
      <c r="M41" t="str">
        <f>IFERROR(IF(VALUE(tblRace2025[[#This Row],[Position]])=1,"Yes","No"),"No")</f>
        <v>No</v>
      </c>
      <c r="N41" t="str">
        <f>IFERROR(IF(VALUE(tblRace2025[[#This Row],[Position]])&lt;=3,"Yes","No"),"No")</f>
        <v>No</v>
      </c>
      <c r="O41">
        <f>IFERROR(VALUE(tblRace2025[[#This Row],[Starting Grid]])-VALUE(tblRace2025[[#This Row],[Position]]),0)</f>
        <v>0</v>
      </c>
      <c r="P41" t="str">
        <f>IFERROR(IF(AND(VALUE(tblRace2025[[#This Row],[Starting Grid]])=1,VALUE(tblRace2025[[#This Row],[Position]])=1),"Yes","No"),"No")</f>
        <v>No</v>
      </c>
      <c r="Q41" t="str">
        <f>IF(tblRace2025[[#This Row],[Points]]&gt;0,"Yes","No")</f>
        <v>No</v>
      </c>
      <c r="R41">
        <v>2025</v>
      </c>
    </row>
    <row r="42" spans="1:18" x14ac:dyDescent="0.45">
      <c r="A42" t="s">
        <v>130</v>
      </c>
      <c r="B42" t="s">
        <v>12</v>
      </c>
      <c r="C42">
        <f>IFERROR(VALUE(tblRace2025[[#This Row],[Position]]),"")</f>
        <v>1</v>
      </c>
      <c r="D42">
        <v>1</v>
      </c>
      <c r="E42" t="s">
        <v>19</v>
      </c>
      <c r="F42" t="s">
        <v>20</v>
      </c>
      <c r="G42">
        <v>1</v>
      </c>
      <c r="H42">
        <v>53</v>
      </c>
      <c r="I42" t="s">
        <v>131</v>
      </c>
      <c r="J42">
        <v>25</v>
      </c>
      <c r="K42" t="s">
        <v>2</v>
      </c>
      <c r="L42" t="s">
        <v>132</v>
      </c>
      <c r="M42" t="str">
        <f>IFERROR(IF(VALUE(tblRace2025[[#This Row],[Position]])=1,"Yes","No"),"No")</f>
        <v>Yes</v>
      </c>
      <c r="N42" t="str">
        <f>IFERROR(IF(VALUE(tblRace2025[[#This Row],[Position]])&lt;=3,"Yes","No"),"No")</f>
        <v>Yes</v>
      </c>
      <c r="O42">
        <f>IFERROR(VALUE(tblRace2025[[#This Row],[Starting Grid]])-VALUE(tblRace2025[[#This Row],[Position]]),0)</f>
        <v>0</v>
      </c>
      <c r="P42" t="str">
        <f>IFERROR(IF(AND(VALUE(tblRace2025[[#This Row],[Starting Grid]])=1,VALUE(tblRace2025[[#This Row],[Position]])=1),"Yes","No"),"No")</f>
        <v>Yes</v>
      </c>
      <c r="Q42" t="str">
        <f>IF(tblRace2025[[#This Row],[Points]]&gt;0,"Yes","No")</f>
        <v>Yes</v>
      </c>
      <c r="R42">
        <v>2025</v>
      </c>
    </row>
    <row r="43" spans="1:18" x14ac:dyDescent="0.45">
      <c r="A43" t="s">
        <v>130</v>
      </c>
      <c r="B43" t="s">
        <v>18</v>
      </c>
      <c r="C43">
        <f>IFERROR(VALUE(tblRace2025[[#This Row],[Position]]),"")</f>
        <v>2</v>
      </c>
      <c r="D43">
        <v>4</v>
      </c>
      <c r="E43" t="s">
        <v>13</v>
      </c>
      <c r="F43" t="s">
        <v>14</v>
      </c>
      <c r="G43">
        <v>2</v>
      </c>
      <c r="H43">
        <v>53</v>
      </c>
      <c r="I43" t="s">
        <v>133</v>
      </c>
      <c r="J43">
        <v>18</v>
      </c>
      <c r="K43" t="s">
        <v>2</v>
      </c>
      <c r="L43" t="s">
        <v>134</v>
      </c>
      <c r="M43" t="str">
        <f>IFERROR(IF(VALUE(tblRace2025[[#This Row],[Position]])=1,"Yes","No"),"No")</f>
        <v>No</v>
      </c>
      <c r="N43" t="str">
        <f>IFERROR(IF(VALUE(tblRace2025[[#This Row],[Position]])&lt;=3,"Yes","No"),"No")</f>
        <v>Yes</v>
      </c>
      <c r="O43">
        <f>IFERROR(VALUE(tblRace2025[[#This Row],[Starting Grid]])-VALUE(tblRace2025[[#This Row],[Position]]),0)</f>
        <v>0</v>
      </c>
      <c r="P43" t="str">
        <f>IFERROR(IF(AND(VALUE(tblRace2025[[#This Row],[Starting Grid]])=1,VALUE(tblRace2025[[#This Row],[Position]])=1),"Yes","No"),"No")</f>
        <v>No</v>
      </c>
      <c r="Q43" t="str">
        <f>IF(tblRace2025[[#This Row],[Points]]&gt;0,"Yes","No")</f>
        <v>Yes</v>
      </c>
      <c r="R43">
        <v>2025</v>
      </c>
    </row>
    <row r="44" spans="1:18" x14ac:dyDescent="0.45">
      <c r="A44" t="s">
        <v>130</v>
      </c>
      <c r="B44" t="s">
        <v>23</v>
      </c>
      <c r="C44">
        <f>IFERROR(VALUE(tblRace2025[[#This Row],[Position]]),"")</f>
        <v>3</v>
      </c>
      <c r="D44">
        <v>81</v>
      </c>
      <c r="E44" t="s">
        <v>53</v>
      </c>
      <c r="F44" t="s">
        <v>14</v>
      </c>
      <c r="G44">
        <v>3</v>
      </c>
      <c r="H44">
        <v>53</v>
      </c>
      <c r="I44" t="s">
        <v>135</v>
      </c>
      <c r="J44">
        <v>15</v>
      </c>
      <c r="K44" t="s">
        <v>2</v>
      </c>
      <c r="L44" t="s">
        <v>136</v>
      </c>
      <c r="M44" t="str">
        <f>IFERROR(IF(VALUE(tblRace2025[[#This Row],[Position]])=1,"Yes","No"),"No")</f>
        <v>No</v>
      </c>
      <c r="N44" t="str">
        <f>IFERROR(IF(VALUE(tblRace2025[[#This Row],[Position]])&lt;=3,"Yes","No"),"No")</f>
        <v>Yes</v>
      </c>
      <c r="O44">
        <f>IFERROR(VALUE(tblRace2025[[#This Row],[Starting Grid]])-VALUE(tblRace2025[[#This Row],[Position]]),0)</f>
        <v>0</v>
      </c>
      <c r="P44" t="str">
        <f>IFERROR(IF(AND(VALUE(tblRace2025[[#This Row],[Starting Grid]])=1,VALUE(tblRace2025[[#This Row],[Position]])=1),"Yes","No"),"No")</f>
        <v>No</v>
      </c>
      <c r="Q44" t="str">
        <f>IF(tblRace2025[[#This Row],[Points]]&gt;0,"Yes","No")</f>
        <v>Yes</v>
      </c>
      <c r="R44">
        <v>2025</v>
      </c>
    </row>
    <row r="45" spans="1:18" x14ac:dyDescent="0.45">
      <c r="A45" t="s">
        <v>130</v>
      </c>
      <c r="B45" t="s">
        <v>28</v>
      </c>
      <c r="C45">
        <f>IFERROR(VALUE(tblRace2025[[#This Row],[Position]]),"")</f>
        <v>4</v>
      </c>
      <c r="D45">
        <v>16</v>
      </c>
      <c r="E45" t="s">
        <v>48</v>
      </c>
      <c r="F45" t="s">
        <v>49</v>
      </c>
      <c r="G45">
        <v>4</v>
      </c>
      <c r="H45">
        <v>53</v>
      </c>
      <c r="I45" t="s">
        <v>137</v>
      </c>
      <c r="J45">
        <v>12</v>
      </c>
      <c r="K45" t="s">
        <v>2</v>
      </c>
      <c r="L45" t="s">
        <v>138</v>
      </c>
      <c r="M45" t="str">
        <f>IFERROR(IF(VALUE(tblRace2025[[#This Row],[Position]])=1,"Yes","No"),"No")</f>
        <v>No</v>
      </c>
      <c r="N45" t="str">
        <f>IFERROR(IF(VALUE(tblRace2025[[#This Row],[Position]])&lt;=3,"Yes","No"),"No")</f>
        <v>No</v>
      </c>
      <c r="O45">
        <f>IFERROR(VALUE(tblRace2025[[#This Row],[Starting Grid]])-VALUE(tblRace2025[[#This Row],[Position]]),0)</f>
        <v>0</v>
      </c>
      <c r="P45" t="str">
        <f>IFERROR(IF(AND(VALUE(tblRace2025[[#This Row],[Starting Grid]])=1,VALUE(tblRace2025[[#This Row],[Position]])=1),"Yes","No"),"No")</f>
        <v>No</v>
      </c>
      <c r="Q45" t="str">
        <f>IF(tblRace2025[[#This Row],[Points]]&gt;0,"Yes","No")</f>
        <v>Yes</v>
      </c>
      <c r="R45">
        <v>2025</v>
      </c>
    </row>
    <row r="46" spans="1:18" x14ac:dyDescent="0.45">
      <c r="A46" t="s">
        <v>130</v>
      </c>
      <c r="B46" t="s">
        <v>32</v>
      </c>
      <c r="C46">
        <f>IFERROR(VALUE(tblRace2025[[#This Row],[Position]]),"")</f>
        <v>5</v>
      </c>
      <c r="D46">
        <v>63</v>
      </c>
      <c r="E46" t="s">
        <v>24</v>
      </c>
      <c r="F46" t="s">
        <v>25</v>
      </c>
      <c r="G46">
        <v>5</v>
      </c>
      <c r="H46">
        <v>53</v>
      </c>
      <c r="I46" t="s">
        <v>139</v>
      </c>
      <c r="J46">
        <v>10</v>
      </c>
      <c r="K46" t="s">
        <v>2</v>
      </c>
      <c r="L46" t="s">
        <v>140</v>
      </c>
      <c r="M46" t="str">
        <f>IFERROR(IF(VALUE(tblRace2025[[#This Row],[Position]])=1,"Yes","No"),"No")</f>
        <v>No</v>
      </c>
      <c r="N46" t="str">
        <f>IFERROR(IF(VALUE(tblRace2025[[#This Row],[Position]])&lt;=3,"Yes","No"),"No")</f>
        <v>No</v>
      </c>
      <c r="O46">
        <f>IFERROR(VALUE(tblRace2025[[#This Row],[Starting Grid]])-VALUE(tblRace2025[[#This Row],[Position]]),0)</f>
        <v>0</v>
      </c>
      <c r="P46" t="str">
        <f>IFERROR(IF(AND(VALUE(tblRace2025[[#This Row],[Starting Grid]])=1,VALUE(tblRace2025[[#This Row],[Position]])=1),"Yes","No"),"No")</f>
        <v>No</v>
      </c>
      <c r="Q46" t="str">
        <f>IF(tblRace2025[[#This Row],[Points]]&gt;0,"Yes","No")</f>
        <v>Yes</v>
      </c>
      <c r="R46">
        <v>2025</v>
      </c>
    </row>
    <row r="47" spans="1:18" x14ac:dyDescent="0.45">
      <c r="A47" t="s">
        <v>130</v>
      </c>
      <c r="B47" t="s">
        <v>37</v>
      </c>
      <c r="C47">
        <f>IFERROR(VALUE(tblRace2025[[#This Row],[Position]]),"")</f>
        <v>6</v>
      </c>
      <c r="D47">
        <v>12</v>
      </c>
      <c r="E47" t="s">
        <v>29</v>
      </c>
      <c r="F47" t="s">
        <v>25</v>
      </c>
      <c r="G47">
        <v>6</v>
      </c>
      <c r="H47">
        <v>53</v>
      </c>
      <c r="I47" t="s">
        <v>141</v>
      </c>
      <c r="J47">
        <v>8</v>
      </c>
      <c r="K47" t="s">
        <v>16</v>
      </c>
      <c r="L47" t="s">
        <v>142</v>
      </c>
      <c r="M47" t="str">
        <f>IFERROR(IF(VALUE(tblRace2025[[#This Row],[Position]])=1,"Yes","No"),"No")</f>
        <v>No</v>
      </c>
      <c r="N47" t="str">
        <f>IFERROR(IF(VALUE(tblRace2025[[#This Row],[Position]])&lt;=3,"Yes","No"),"No")</f>
        <v>No</v>
      </c>
      <c r="O47">
        <f>IFERROR(VALUE(tblRace2025[[#This Row],[Starting Grid]])-VALUE(tblRace2025[[#This Row],[Position]]),0)</f>
        <v>0</v>
      </c>
      <c r="P47" t="str">
        <f>IFERROR(IF(AND(VALUE(tblRace2025[[#This Row],[Starting Grid]])=1,VALUE(tblRace2025[[#This Row],[Position]])=1),"Yes","No"),"No")</f>
        <v>No</v>
      </c>
      <c r="Q47" t="str">
        <f>IF(tblRace2025[[#This Row],[Points]]&gt;0,"Yes","No")</f>
        <v>Yes</v>
      </c>
      <c r="R47">
        <v>2025</v>
      </c>
    </row>
    <row r="48" spans="1:18" x14ac:dyDescent="0.45">
      <c r="A48" t="s">
        <v>130</v>
      </c>
      <c r="B48" t="s">
        <v>42</v>
      </c>
      <c r="C48">
        <f>IFERROR(VALUE(tblRace2025[[#This Row],[Position]]),"")</f>
        <v>7</v>
      </c>
      <c r="D48">
        <v>44</v>
      </c>
      <c r="E48" t="s">
        <v>57</v>
      </c>
      <c r="F48" t="s">
        <v>49</v>
      </c>
      <c r="G48">
        <v>8</v>
      </c>
      <c r="H48">
        <v>53</v>
      </c>
      <c r="I48" t="s">
        <v>143</v>
      </c>
      <c r="J48">
        <v>6</v>
      </c>
      <c r="K48" t="s">
        <v>2</v>
      </c>
      <c r="L48" t="s">
        <v>144</v>
      </c>
      <c r="M48" t="str">
        <f>IFERROR(IF(VALUE(tblRace2025[[#This Row],[Position]])=1,"Yes","No"),"No")</f>
        <v>No</v>
      </c>
      <c r="N48" t="str">
        <f>IFERROR(IF(VALUE(tblRace2025[[#This Row],[Position]])&lt;=3,"Yes","No"),"No")</f>
        <v>No</v>
      </c>
      <c r="O48">
        <f>IFERROR(VALUE(tblRace2025[[#This Row],[Starting Grid]])-VALUE(tblRace2025[[#This Row],[Position]]),0)</f>
        <v>1</v>
      </c>
      <c r="P48" t="str">
        <f>IFERROR(IF(AND(VALUE(tblRace2025[[#This Row],[Starting Grid]])=1,VALUE(tblRace2025[[#This Row],[Position]])=1),"Yes","No"),"No")</f>
        <v>No</v>
      </c>
      <c r="Q48" t="str">
        <f>IF(tblRace2025[[#This Row],[Points]]&gt;0,"Yes","No")</f>
        <v>Yes</v>
      </c>
      <c r="R48">
        <v>2025</v>
      </c>
    </row>
    <row r="49" spans="1:18" x14ac:dyDescent="0.45">
      <c r="A49" t="s">
        <v>130</v>
      </c>
      <c r="B49" t="s">
        <v>47</v>
      </c>
      <c r="C49">
        <f>IFERROR(VALUE(tblRace2025[[#This Row],[Position]]),"")</f>
        <v>8</v>
      </c>
      <c r="D49">
        <v>6</v>
      </c>
      <c r="E49" t="s">
        <v>90</v>
      </c>
      <c r="F49" t="s">
        <v>67</v>
      </c>
      <c r="G49">
        <v>7</v>
      </c>
      <c r="H49">
        <v>53</v>
      </c>
      <c r="I49" t="s">
        <v>145</v>
      </c>
      <c r="J49">
        <v>4</v>
      </c>
      <c r="K49" t="s">
        <v>2</v>
      </c>
      <c r="L49" t="s">
        <v>146</v>
      </c>
      <c r="M49" t="str">
        <f>IFERROR(IF(VALUE(tblRace2025[[#This Row],[Position]])=1,"Yes","No"),"No")</f>
        <v>No</v>
      </c>
      <c r="N49" t="str">
        <f>IFERROR(IF(VALUE(tblRace2025[[#This Row],[Position]])&lt;=3,"Yes","No"),"No")</f>
        <v>No</v>
      </c>
      <c r="O49">
        <f>IFERROR(VALUE(tblRace2025[[#This Row],[Starting Grid]])-VALUE(tblRace2025[[#This Row],[Position]]),0)</f>
        <v>-1</v>
      </c>
      <c r="P49" t="str">
        <f>IFERROR(IF(AND(VALUE(tblRace2025[[#This Row],[Starting Grid]])=1,VALUE(tblRace2025[[#This Row],[Position]])=1),"Yes","No"),"No")</f>
        <v>No</v>
      </c>
      <c r="Q49" t="str">
        <f>IF(tblRace2025[[#This Row],[Points]]&gt;0,"Yes","No")</f>
        <v>Yes</v>
      </c>
      <c r="R49">
        <v>2025</v>
      </c>
    </row>
    <row r="50" spans="1:18" x14ac:dyDescent="0.45">
      <c r="A50" t="s">
        <v>130</v>
      </c>
      <c r="B50" t="s">
        <v>52</v>
      </c>
      <c r="C50">
        <f>IFERROR(VALUE(tblRace2025[[#This Row],[Position]]),"")</f>
        <v>9</v>
      </c>
      <c r="D50">
        <v>23</v>
      </c>
      <c r="E50" t="s">
        <v>33</v>
      </c>
      <c r="F50" t="s">
        <v>34</v>
      </c>
      <c r="G50">
        <v>9</v>
      </c>
      <c r="H50">
        <v>53</v>
      </c>
      <c r="I50" t="s">
        <v>147</v>
      </c>
      <c r="J50">
        <v>2</v>
      </c>
      <c r="K50" t="s">
        <v>2</v>
      </c>
      <c r="L50" t="s">
        <v>148</v>
      </c>
      <c r="M50" t="str">
        <f>IFERROR(IF(VALUE(tblRace2025[[#This Row],[Position]])=1,"Yes","No"),"No")</f>
        <v>No</v>
      </c>
      <c r="N50" t="str">
        <f>IFERROR(IF(VALUE(tblRace2025[[#This Row],[Position]])&lt;=3,"Yes","No"),"No")</f>
        <v>No</v>
      </c>
      <c r="O50">
        <f>IFERROR(VALUE(tblRace2025[[#This Row],[Starting Grid]])-VALUE(tblRace2025[[#This Row],[Position]]),0)</f>
        <v>0</v>
      </c>
      <c r="P50" t="str">
        <f>IFERROR(IF(AND(VALUE(tblRace2025[[#This Row],[Starting Grid]])=1,VALUE(tblRace2025[[#This Row],[Position]])=1),"Yes","No"),"No")</f>
        <v>No</v>
      </c>
      <c r="Q50" t="str">
        <f>IF(tblRace2025[[#This Row],[Points]]&gt;0,"Yes","No")</f>
        <v>Yes</v>
      </c>
      <c r="R50">
        <v>2025</v>
      </c>
    </row>
    <row r="51" spans="1:18" x14ac:dyDescent="0.45">
      <c r="A51" t="s">
        <v>130</v>
      </c>
      <c r="B51" t="s">
        <v>56</v>
      </c>
      <c r="C51">
        <f>IFERROR(VALUE(tblRace2025[[#This Row],[Position]]),"")</f>
        <v>10</v>
      </c>
      <c r="D51">
        <v>87</v>
      </c>
      <c r="E51" t="s">
        <v>76</v>
      </c>
      <c r="F51" t="s">
        <v>72</v>
      </c>
      <c r="G51">
        <v>10</v>
      </c>
      <c r="H51">
        <v>53</v>
      </c>
      <c r="I51" t="s">
        <v>149</v>
      </c>
      <c r="J51">
        <v>1</v>
      </c>
      <c r="K51" t="s">
        <v>2</v>
      </c>
      <c r="L51" t="s">
        <v>150</v>
      </c>
      <c r="M51" t="str">
        <f>IFERROR(IF(VALUE(tblRace2025[[#This Row],[Position]])=1,"Yes","No"),"No")</f>
        <v>No</v>
      </c>
      <c r="N51" t="str">
        <f>IFERROR(IF(VALUE(tblRace2025[[#This Row],[Position]])&lt;=3,"Yes","No"),"No")</f>
        <v>No</v>
      </c>
      <c r="O51">
        <f>IFERROR(VALUE(tblRace2025[[#This Row],[Starting Grid]])-VALUE(tblRace2025[[#This Row],[Position]]),0)</f>
        <v>0</v>
      </c>
      <c r="P51" t="str">
        <f>IFERROR(IF(AND(VALUE(tblRace2025[[#This Row],[Starting Grid]])=1,VALUE(tblRace2025[[#This Row],[Position]])=1),"Yes","No"),"No")</f>
        <v>No</v>
      </c>
      <c r="Q51" t="str">
        <f>IF(tblRace2025[[#This Row],[Points]]&gt;0,"Yes","No")</f>
        <v>Yes</v>
      </c>
      <c r="R51">
        <v>2025</v>
      </c>
    </row>
    <row r="52" spans="1:18" x14ac:dyDescent="0.45">
      <c r="A52" t="s">
        <v>130</v>
      </c>
      <c r="B52" t="s">
        <v>60</v>
      </c>
      <c r="C52">
        <f>IFERROR(VALUE(tblRace2025[[#This Row],[Position]]),"")</f>
        <v>11</v>
      </c>
      <c r="D52">
        <v>14</v>
      </c>
      <c r="E52" t="s">
        <v>85</v>
      </c>
      <c r="F52" t="s">
        <v>39</v>
      </c>
      <c r="G52">
        <v>12</v>
      </c>
      <c r="H52">
        <v>53</v>
      </c>
      <c r="I52" t="s">
        <v>151</v>
      </c>
      <c r="J52">
        <v>0</v>
      </c>
      <c r="K52" t="s">
        <v>2</v>
      </c>
      <c r="L52" t="s">
        <v>152</v>
      </c>
      <c r="M52" t="str">
        <f>IFERROR(IF(VALUE(tblRace2025[[#This Row],[Position]])=1,"Yes","No"),"No")</f>
        <v>No</v>
      </c>
      <c r="N52" t="str">
        <f>IFERROR(IF(VALUE(tblRace2025[[#This Row],[Position]])&lt;=3,"Yes","No"),"No")</f>
        <v>No</v>
      </c>
      <c r="O52">
        <f>IFERROR(VALUE(tblRace2025[[#This Row],[Starting Grid]])-VALUE(tblRace2025[[#This Row],[Position]]),0)</f>
        <v>1</v>
      </c>
      <c r="P52" t="str">
        <f>IFERROR(IF(AND(VALUE(tblRace2025[[#This Row],[Starting Grid]])=1,VALUE(tblRace2025[[#This Row],[Position]])=1),"Yes","No"),"No")</f>
        <v>No</v>
      </c>
      <c r="Q52" t="str">
        <f>IF(tblRace2025[[#This Row],[Points]]&gt;0,"Yes","No")</f>
        <v>No</v>
      </c>
      <c r="R52">
        <v>2025</v>
      </c>
    </row>
    <row r="53" spans="1:18" x14ac:dyDescent="0.45">
      <c r="A53" t="s">
        <v>130</v>
      </c>
      <c r="B53" t="s">
        <v>65</v>
      </c>
      <c r="C53">
        <f>IFERROR(VALUE(tblRace2025[[#This Row],[Position]]),"")</f>
        <v>12</v>
      </c>
      <c r="D53">
        <v>22</v>
      </c>
      <c r="E53" t="s">
        <v>66</v>
      </c>
      <c r="F53" t="s">
        <v>20</v>
      </c>
      <c r="G53">
        <v>14</v>
      </c>
      <c r="H53">
        <v>53</v>
      </c>
      <c r="I53" t="s">
        <v>153</v>
      </c>
      <c r="J53">
        <v>0</v>
      </c>
      <c r="K53" t="s">
        <v>2</v>
      </c>
      <c r="L53" t="s">
        <v>154</v>
      </c>
      <c r="M53" t="str">
        <f>IFERROR(IF(VALUE(tblRace2025[[#This Row],[Position]])=1,"Yes","No"),"No")</f>
        <v>No</v>
      </c>
      <c r="N53" t="str">
        <f>IFERROR(IF(VALUE(tblRace2025[[#This Row],[Position]])&lt;=3,"Yes","No"),"No")</f>
        <v>No</v>
      </c>
      <c r="O53">
        <f>IFERROR(VALUE(tblRace2025[[#This Row],[Starting Grid]])-VALUE(tblRace2025[[#This Row],[Position]]),0)</f>
        <v>2</v>
      </c>
      <c r="P53" t="str">
        <f>IFERROR(IF(AND(VALUE(tblRace2025[[#This Row],[Starting Grid]])=1,VALUE(tblRace2025[[#This Row],[Position]])=1),"Yes","No"),"No")</f>
        <v>No</v>
      </c>
      <c r="Q53" t="str">
        <f>IF(tblRace2025[[#This Row],[Points]]&gt;0,"Yes","No")</f>
        <v>No</v>
      </c>
      <c r="R53">
        <v>2025</v>
      </c>
    </row>
    <row r="54" spans="1:18" x14ac:dyDescent="0.45">
      <c r="A54" t="s">
        <v>130</v>
      </c>
      <c r="B54" t="s">
        <v>70</v>
      </c>
      <c r="C54">
        <f>IFERROR(VALUE(tblRace2025[[#This Row],[Position]]),"")</f>
        <v>13</v>
      </c>
      <c r="D54">
        <v>10</v>
      </c>
      <c r="E54" t="s">
        <v>61</v>
      </c>
      <c r="F54" t="s">
        <v>62</v>
      </c>
      <c r="G54">
        <v>11</v>
      </c>
      <c r="H54">
        <v>53</v>
      </c>
      <c r="I54" t="s">
        <v>155</v>
      </c>
      <c r="J54">
        <v>0</v>
      </c>
      <c r="K54" t="s">
        <v>2</v>
      </c>
      <c r="L54" t="s">
        <v>156</v>
      </c>
      <c r="M54" t="str">
        <f>IFERROR(IF(VALUE(tblRace2025[[#This Row],[Position]])=1,"Yes","No"),"No")</f>
        <v>No</v>
      </c>
      <c r="N54" t="str">
        <f>IFERROR(IF(VALUE(tblRace2025[[#This Row],[Position]])&lt;=3,"Yes","No"),"No")</f>
        <v>No</v>
      </c>
      <c r="O54">
        <f>IFERROR(VALUE(tblRace2025[[#This Row],[Starting Grid]])-VALUE(tblRace2025[[#This Row],[Position]]),0)</f>
        <v>-2</v>
      </c>
      <c r="P54" t="str">
        <f>IFERROR(IF(AND(VALUE(tblRace2025[[#This Row],[Starting Grid]])=1,VALUE(tblRace2025[[#This Row],[Position]])=1),"Yes","No"),"No")</f>
        <v>No</v>
      </c>
      <c r="Q54" t="str">
        <f>IF(tblRace2025[[#This Row],[Points]]&gt;0,"Yes","No")</f>
        <v>No</v>
      </c>
      <c r="R54">
        <v>2025</v>
      </c>
    </row>
    <row r="55" spans="1:18" x14ac:dyDescent="0.45">
      <c r="A55" t="s">
        <v>130</v>
      </c>
      <c r="B55" t="s">
        <v>75</v>
      </c>
      <c r="C55">
        <f>IFERROR(VALUE(tblRace2025[[#This Row],[Position]]),"")</f>
        <v>14</v>
      </c>
      <c r="D55">
        <v>55</v>
      </c>
      <c r="E55" t="s">
        <v>87</v>
      </c>
      <c r="F55" t="s">
        <v>34</v>
      </c>
      <c r="G55">
        <v>15</v>
      </c>
      <c r="H55">
        <v>53</v>
      </c>
      <c r="I55" t="s">
        <v>157</v>
      </c>
      <c r="J55">
        <v>0</v>
      </c>
      <c r="K55" t="s">
        <v>2</v>
      </c>
      <c r="L55" t="s">
        <v>158</v>
      </c>
      <c r="M55" t="str">
        <f>IFERROR(IF(VALUE(tblRace2025[[#This Row],[Position]])=1,"Yes","No"),"No")</f>
        <v>No</v>
      </c>
      <c r="N55" t="str">
        <f>IFERROR(IF(VALUE(tblRace2025[[#This Row],[Position]])&lt;=3,"Yes","No"),"No")</f>
        <v>No</v>
      </c>
      <c r="O55">
        <f>IFERROR(VALUE(tblRace2025[[#This Row],[Starting Grid]])-VALUE(tblRace2025[[#This Row],[Position]]),0)</f>
        <v>1</v>
      </c>
      <c r="P55" t="str">
        <f>IFERROR(IF(AND(VALUE(tblRace2025[[#This Row],[Starting Grid]])=1,VALUE(tblRace2025[[#This Row],[Position]])=1),"Yes","No"),"No")</f>
        <v>No</v>
      </c>
      <c r="Q55" t="str">
        <f>IF(tblRace2025[[#This Row],[Points]]&gt;0,"Yes","No")</f>
        <v>No</v>
      </c>
      <c r="R55">
        <v>2025</v>
      </c>
    </row>
    <row r="56" spans="1:18" x14ac:dyDescent="0.45">
      <c r="A56" t="s">
        <v>130</v>
      </c>
      <c r="B56" t="s">
        <v>120</v>
      </c>
      <c r="C56">
        <f>IFERROR(VALUE(tblRace2025[[#This Row],[Position]]),"")</f>
        <v>15</v>
      </c>
      <c r="D56">
        <v>7</v>
      </c>
      <c r="E56" t="s">
        <v>89</v>
      </c>
      <c r="F56" t="s">
        <v>62</v>
      </c>
      <c r="G56">
        <v>19</v>
      </c>
      <c r="H56">
        <v>53</v>
      </c>
      <c r="I56" t="s">
        <v>159</v>
      </c>
      <c r="J56">
        <v>0</v>
      </c>
      <c r="K56" t="s">
        <v>2</v>
      </c>
      <c r="L56" t="s">
        <v>160</v>
      </c>
      <c r="M56" t="str">
        <f>IFERROR(IF(VALUE(tblRace2025[[#This Row],[Position]])=1,"Yes","No"),"No")</f>
        <v>No</v>
      </c>
      <c r="N56" t="str">
        <f>IFERROR(IF(VALUE(tblRace2025[[#This Row],[Position]])&lt;=3,"Yes","No"),"No")</f>
        <v>No</v>
      </c>
      <c r="O56">
        <f>IFERROR(VALUE(tblRace2025[[#This Row],[Starting Grid]])-VALUE(tblRace2025[[#This Row],[Position]]),0)</f>
        <v>4</v>
      </c>
      <c r="P56" t="str">
        <f>IFERROR(IF(AND(VALUE(tblRace2025[[#This Row],[Starting Grid]])=1,VALUE(tblRace2025[[#This Row],[Position]])=1),"Yes","No"),"No")</f>
        <v>No</v>
      </c>
      <c r="Q56" t="str">
        <f>IF(tblRace2025[[#This Row],[Points]]&gt;0,"Yes","No")</f>
        <v>No</v>
      </c>
      <c r="R56">
        <v>2025</v>
      </c>
    </row>
    <row r="57" spans="1:18" x14ac:dyDescent="0.45">
      <c r="A57" t="s">
        <v>130</v>
      </c>
      <c r="B57" t="s">
        <v>122</v>
      </c>
      <c r="C57">
        <f>IFERROR(VALUE(tblRace2025[[#This Row],[Position]]),"")</f>
        <v>16</v>
      </c>
      <c r="D57">
        <v>27</v>
      </c>
      <c r="E57" t="s">
        <v>43</v>
      </c>
      <c r="F57" t="s">
        <v>44</v>
      </c>
      <c r="G57">
        <v>16</v>
      </c>
      <c r="H57">
        <v>53</v>
      </c>
      <c r="I57" t="s">
        <v>161</v>
      </c>
      <c r="J57">
        <v>0</v>
      </c>
      <c r="K57" t="s">
        <v>2</v>
      </c>
      <c r="L57" t="s">
        <v>162</v>
      </c>
      <c r="M57" t="str">
        <f>IFERROR(IF(VALUE(tblRace2025[[#This Row],[Position]])=1,"Yes","No"),"No")</f>
        <v>No</v>
      </c>
      <c r="N57" t="str">
        <f>IFERROR(IF(VALUE(tblRace2025[[#This Row],[Position]])&lt;=3,"Yes","No"),"No")</f>
        <v>No</v>
      </c>
      <c r="O57">
        <f>IFERROR(VALUE(tblRace2025[[#This Row],[Starting Grid]])-VALUE(tblRace2025[[#This Row],[Position]]),0)</f>
        <v>0</v>
      </c>
      <c r="P57" t="str">
        <f>IFERROR(IF(AND(VALUE(tblRace2025[[#This Row],[Starting Grid]])=1,VALUE(tblRace2025[[#This Row],[Position]])=1),"Yes","No"),"No")</f>
        <v>No</v>
      </c>
      <c r="Q57" t="str">
        <f>IF(tblRace2025[[#This Row],[Points]]&gt;0,"Yes","No")</f>
        <v>No</v>
      </c>
      <c r="R57">
        <v>2025</v>
      </c>
    </row>
    <row r="58" spans="1:18" x14ac:dyDescent="0.45">
      <c r="A58" t="s">
        <v>130</v>
      </c>
      <c r="B58" t="s">
        <v>163</v>
      </c>
      <c r="C58">
        <f>IFERROR(VALUE(tblRace2025[[#This Row],[Position]]),"")</f>
        <v>17</v>
      </c>
      <c r="D58">
        <v>30</v>
      </c>
      <c r="E58" t="s">
        <v>80</v>
      </c>
      <c r="F58" t="s">
        <v>67</v>
      </c>
      <c r="G58">
        <v>13</v>
      </c>
      <c r="H58">
        <v>53</v>
      </c>
      <c r="I58" t="s">
        <v>164</v>
      </c>
      <c r="J58">
        <v>0</v>
      </c>
      <c r="K58" t="s">
        <v>2</v>
      </c>
      <c r="L58" t="s">
        <v>165</v>
      </c>
      <c r="M58" t="str">
        <f>IFERROR(IF(VALUE(tblRace2025[[#This Row],[Position]])=1,"Yes","No"),"No")</f>
        <v>No</v>
      </c>
      <c r="N58" t="str">
        <f>IFERROR(IF(VALUE(tblRace2025[[#This Row],[Position]])&lt;=3,"Yes","No"),"No")</f>
        <v>No</v>
      </c>
      <c r="O58">
        <f>IFERROR(VALUE(tblRace2025[[#This Row],[Starting Grid]])-VALUE(tblRace2025[[#This Row],[Position]]),0)</f>
        <v>-4</v>
      </c>
      <c r="P58" t="str">
        <f>IFERROR(IF(AND(VALUE(tblRace2025[[#This Row],[Starting Grid]])=1,VALUE(tblRace2025[[#This Row],[Position]])=1),"Yes","No"),"No")</f>
        <v>No</v>
      </c>
      <c r="Q58" t="str">
        <f>IF(tblRace2025[[#This Row],[Points]]&gt;0,"Yes","No")</f>
        <v>No</v>
      </c>
      <c r="R58">
        <v>2025</v>
      </c>
    </row>
    <row r="59" spans="1:18" x14ac:dyDescent="0.45">
      <c r="A59" t="s">
        <v>130</v>
      </c>
      <c r="B59" t="s">
        <v>166</v>
      </c>
      <c r="C59">
        <f>IFERROR(VALUE(tblRace2025[[#This Row],[Position]]),"")</f>
        <v>18</v>
      </c>
      <c r="D59">
        <v>31</v>
      </c>
      <c r="E59" t="s">
        <v>71</v>
      </c>
      <c r="F59" t="s">
        <v>72</v>
      </c>
      <c r="G59">
        <v>18</v>
      </c>
      <c r="H59">
        <v>53</v>
      </c>
      <c r="I59" t="s">
        <v>167</v>
      </c>
      <c r="J59">
        <v>0</v>
      </c>
      <c r="K59" t="s">
        <v>2</v>
      </c>
      <c r="L59" t="s">
        <v>168</v>
      </c>
      <c r="M59" t="str">
        <f>IFERROR(IF(VALUE(tblRace2025[[#This Row],[Position]])=1,"Yes","No"),"No")</f>
        <v>No</v>
      </c>
      <c r="N59" t="str">
        <f>IFERROR(IF(VALUE(tblRace2025[[#This Row],[Position]])&lt;=3,"Yes","No"),"No")</f>
        <v>No</v>
      </c>
      <c r="O59">
        <f>IFERROR(VALUE(tblRace2025[[#This Row],[Starting Grid]])-VALUE(tblRace2025[[#This Row],[Position]]),0)</f>
        <v>0</v>
      </c>
      <c r="P59" t="str">
        <f>IFERROR(IF(AND(VALUE(tblRace2025[[#This Row],[Starting Grid]])=1,VALUE(tblRace2025[[#This Row],[Position]])=1),"Yes","No"),"No")</f>
        <v>No</v>
      </c>
      <c r="Q59" t="str">
        <f>IF(tblRace2025[[#This Row],[Points]]&gt;0,"Yes","No")</f>
        <v>No</v>
      </c>
      <c r="R59">
        <v>2025</v>
      </c>
    </row>
    <row r="60" spans="1:18" x14ac:dyDescent="0.45">
      <c r="A60" t="s">
        <v>130</v>
      </c>
      <c r="B60" t="s">
        <v>169</v>
      </c>
      <c r="C60">
        <f>IFERROR(VALUE(tblRace2025[[#This Row],[Position]]),"")</f>
        <v>19</v>
      </c>
      <c r="D60">
        <v>5</v>
      </c>
      <c r="E60" t="s">
        <v>83</v>
      </c>
      <c r="F60" t="s">
        <v>44</v>
      </c>
      <c r="G60">
        <v>17</v>
      </c>
      <c r="H60">
        <v>53</v>
      </c>
      <c r="I60" t="s">
        <v>170</v>
      </c>
      <c r="J60">
        <v>0</v>
      </c>
      <c r="K60" t="s">
        <v>2</v>
      </c>
      <c r="L60" t="s">
        <v>171</v>
      </c>
      <c r="M60" t="str">
        <f>IFERROR(IF(VALUE(tblRace2025[[#This Row],[Position]])=1,"Yes","No"),"No")</f>
        <v>No</v>
      </c>
      <c r="N60" t="str">
        <f>IFERROR(IF(VALUE(tblRace2025[[#This Row],[Position]])&lt;=3,"Yes","No"),"No")</f>
        <v>No</v>
      </c>
      <c r="O60">
        <f>IFERROR(VALUE(tblRace2025[[#This Row],[Starting Grid]])-VALUE(tblRace2025[[#This Row],[Position]]),0)</f>
        <v>-2</v>
      </c>
      <c r="P60" t="str">
        <f>IFERROR(IF(AND(VALUE(tblRace2025[[#This Row],[Starting Grid]])=1,VALUE(tblRace2025[[#This Row],[Position]])=1),"Yes","No"),"No")</f>
        <v>No</v>
      </c>
      <c r="Q60" t="str">
        <f>IF(tblRace2025[[#This Row],[Points]]&gt;0,"Yes","No")</f>
        <v>No</v>
      </c>
      <c r="R60">
        <v>2025</v>
      </c>
    </row>
    <row r="61" spans="1:18" x14ac:dyDescent="0.45">
      <c r="A61" t="s">
        <v>130</v>
      </c>
      <c r="B61" t="s">
        <v>172</v>
      </c>
      <c r="C61">
        <f>IFERROR(VALUE(tblRace2025[[#This Row],[Position]]),"")</f>
        <v>20</v>
      </c>
      <c r="D61">
        <v>18</v>
      </c>
      <c r="E61" t="s">
        <v>38</v>
      </c>
      <c r="F61" t="s">
        <v>39</v>
      </c>
      <c r="G61">
        <v>20</v>
      </c>
      <c r="H61">
        <v>52</v>
      </c>
      <c r="I61" t="s">
        <v>118</v>
      </c>
      <c r="J61">
        <v>0</v>
      </c>
      <c r="K61" t="s">
        <v>2</v>
      </c>
      <c r="L61" t="s">
        <v>173</v>
      </c>
      <c r="M61" t="str">
        <f>IFERROR(IF(VALUE(tblRace2025[[#This Row],[Position]])=1,"Yes","No"),"No")</f>
        <v>No</v>
      </c>
      <c r="N61" t="str">
        <f>IFERROR(IF(VALUE(tblRace2025[[#This Row],[Position]])&lt;=3,"Yes","No"),"No")</f>
        <v>No</v>
      </c>
      <c r="O61">
        <f>IFERROR(VALUE(tblRace2025[[#This Row],[Starting Grid]])-VALUE(tblRace2025[[#This Row],[Position]]),0)</f>
        <v>0</v>
      </c>
      <c r="P61" t="str">
        <f>IFERROR(IF(AND(VALUE(tblRace2025[[#This Row],[Starting Grid]])=1,VALUE(tblRace2025[[#This Row],[Position]])=1),"Yes","No"),"No")</f>
        <v>No</v>
      </c>
      <c r="Q61" t="str">
        <f>IF(tblRace2025[[#This Row],[Points]]&gt;0,"Yes","No")</f>
        <v>No</v>
      </c>
      <c r="R61">
        <v>2025</v>
      </c>
    </row>
    <row r="62" spans="1:18" x14ac:dyDescent="0.45">
      <c r="A62" t="s">
        <v>174</v>
      </c>
      <c r="B62" t="s">
        <v>12</v>
      </c>
      <c r="C62">
        <f>IFERROR(VALUE(tblRace2025[[#This Row],[Position]]),"")</f>
        <v>1</v>
      </c>
      <c r="D62">
        <v>81</v>
      </c>
      <c r="E62" t="s">
        <v>53</v>
      </c>
      <c r="F62" t="s">
        <v>14</v>
      </c>
      <c r="G62">
        <v>1</v>
      </c>
      <c r="H62">
        <v>57</v>
      </c>
      <c r="I62" t="s">
        <v>175</v>
      </c>
      <c r="J62">
        <v>25</v>
      </c>
      <c r="K62" t="s">
        <v>16</v>
      </c>
      <c r="L62" t="s">
        <v>176</v>
      </c>
      <c r="M62" t="str">
        <f>IFERROR(IF(VALUE(tblRace2025[[#This Row],[Position]])=1,"Yes","No"),"No")</f>
        <v>Yes</v>
      </c>
      <c r="N62" t="str">
        <f>IFERROR(IF(VALUE(tblRace2025[[#This Row],[Position]])&lt;=3,"Yes","No"),"No")</f>
        <v>Yes</v>
      </c>
      <c r="O62">
        <f>IFERROR(VALUE(tblRace2025[[#This Row],[Starting Grid]])-VALUE(tblRace2025[[#This Row],[Position]]),0)</f>
        <v>0</v>
      </c>
      <c r="P62" t="str">
        <f>IFERROR(IF(AND(VALUE(tblRace2025[[#This Row],[Starting Grid]])=1,VALUE(tblRace2025[[#This Row],[Position]])=1),"Yes","No"),"No")</f>
        <v>Yes</v>
      </c>
      <c r="Q62" t="str">
        <f>IF(tblRace2025[[#This Row],[Points]]&gt;0,"Yes","No")</f>
        <v>Yes</v>
      </c>
      <c r="R62">
        <v>2025</v>
      </c>
    </row>
    <row r="63" spans="1:18" x14ac:dyDescent="0.45">
      <c r="A63" t="s">
        <v>174</v>
      </c>
      <c r="B63" t="s">
        <v>18</v>
      </c>
      <c r="C63">
        <f>IFERROR(VALUE(tblRace2025[[#This Row],[Position]]),"")</f>
        <v>2</v>
      </c>
      <c r="D63">
        <v>63</v>
      </c>
      <c r="E63" t="s">
        <v>24</v>
      </c>
      <c r="F63" t="s">
        <v>25</v>
      </c>
      <c r="G63">
        <v>3</v>
      </c>
      <c r="H63">
        <v>57</v>
      </c>
      <c r="I63" t="s">
        <v>177</v>
      </c>
      <c r="J63">
        <v>18</v>
      </c>
      <c r="K63" t="s">
        <v>2</v>
      </c>
      <c r="L63" t="s">
        <v>178</v>
      </c>
      <c r="M63" t="str">
        <f>IFERROR(IF(VALUE(tblRace2025[[#This Row],[Position]])=1,"Yes","No"),"No")</f>
        <v>No</v>
      </c>
      <c r="N63" t="str">
        <f>IFERROR(IF(VALUE(tblRace2025[[#This Row],[Position]])&lt;=3,"Yes","No"),"No")</f>
        <v>Yes</v>
      </c>
      <c r="O63">
        <f>IFERROR(VALUE(tblRace2025[[#This Row],[Starting Grid]])-VALUE(tblRace2025[[#This Row],[Position]]),0)</f>
        <v>1</v>
      </c>
      <c r="P63" t="str">
        <f>IFERROR(IF(AND(VALUE(tblRace2025[[#This Row],[Starting Grid]])=1,VALUE(tblRace2025[[#This Row],[Position]])=1),"Yes","No"),"No")</f>
        <v>No</v>
      </c>
      <c r="Q63" t="str">
        <f>IF(tblRace2025[[#This Row],[Points]]&gt;0,"Yes","No")</f>
        <v>Yes</v>
      </c>
      <c r="R63">
        <v>2025</v>
      </c>
    </row>
    <row r="64" spans="1:18" x14ac:dyDescent="0.45">
      <c r="A64" t="s">
        <v>174</v>
      </c>
      <c r="B64" t="s">
        <v>23</v>
      </c>
      <c r="C64">
        <f>IFERROR(VALUE(tblRace2025[[#This Row],[Position]]),"")</f>
        <v>3</v>
      </c>
      <c r="D64">
        <v>4</v>
      </c>
      <c r="E64" t="s">
        <v>13</v>
      </c>
      <c r="F64" t="s">
        <v>14</v>
      </c>
      <c r="G64">
        <v>6</v>
      </c>
      <c r="H64">
        <v>57</v>
      </c>
      <c r="I64" t="s">
        <v>179</v>
      </c>
      <c r="J64">
        <v>15</v>
      </c>
      <c r="K64" t="s">
        <v>2</v>
      </c>
      <c r="L64" t="s">
        <v>180</v>
      </c>
      <c r="M64" t="str">
        <f>IFERROR(IF(VALUE(tblRace2025[[#This Row],[Position]])=1,"Yes","No"),"No")</f>
        <v>No</v>
      </c>
      <c r="N64" t="str">
        <f>IFERROR(IF(VALUE(tblRace2025[[#This Row],[Position]])&lt;=3,"Yes","No"),"No")</f>
        <v>Yes</v>
      </c>
      <c r="O64">
        <f>IFERROR(VALUE(tblRace2025[[#This Row],[Starting Grid]])-VALUE(tblRace2025[[#This Row],[Position]]),0)</f>
        <v>3</v>
      </c>
      <c r="P64" t="str">
        <f>IFERROR(IF(AND(VALUE(tblRace2025[[#This Row],[Starting Grid]])=1,VALUE(tblRace2025[[#This Row],[Position]])=1),"Yes","No"),"No")</f>
        <v>No</v>
      </c>
      <c r="Q64" t="str">
        <f>IF(tblRace2025[[#This Row],[Points]]&gt;0,"Yes","No")</f>
        <v>Yes</v>
      </c>
      <c r="R64">
        <v>2025</v>
      </c>
    </row>
    <row r="65" spans="1:18" x14ac:dyDescent="0.45">
      <c r="A65" t="s">
        <v>174</v>
      </c>
      <c r="B65" t="s">
        <v>28</v>
      </c>
      <c r="C65">
        <f>IFERROR(VALUE(tblRace2025[[#This Row],[Position]]),"")</f>
        <v>4</v>
      </c>
      <c r="D65">
        <v>16</v>
      </c>
      <c r="E65" t="s">
        <v>48</v>
      </c>
      <c r="F65" t="s">
        <v>49</v>
      </c>
      <c r="G65">
        <v>2</v>
      </c>
      <c r="H65">
        <v>57</v>
      </c>
      <c r="I65" t="s">
        <v>181</v>
      </c>
      <c r="J65">
        <v>12</v>
      </c>
      <c r="K65" t="s">
        <v>2</v>
      </c>
      <c r="L65" t="s">
        <v>182</v>
      </c>
      <c r="M65" t="str">
        <f>IFERROR(IF(VALUE(tblRace2025[[#This Row],[Position]])=1,"Yes","No"),"No")</f>
        <v>No</v>
      </c>
      <c r="N65" t="str">
        <f>IFERROR(IF(VALUE(tblRace2025[[#This Row],[Position]])&lt;=3,"Yes","No"),"No")</f>
        <v>No</v>
      </c>
      <c r="O65">
        <f>IFERROR(VALUE(tblRace2025[[#This Row],[Starting Grid]])-VALUE(tblRace2025[[#This Row],[Position]]),0)</f>
        <v>-2</v>
      </c>
      <c r="P65" t="str">
        <f>IFERROR(IF(AND(VALUE(tblRace2025[[#This Row],[Starting Grid]])=1,VALUE(tblRace2025[[#This Row],[Position]])=1),"Yes","No"),"No")</f>
        <v>No</v>
      </c>
      <c r="Q65" t="str">
        <f>IF(tblRace2025[[#This Row],[Points]]&gt;0,"Yes","No")</f>
        <v>Yes</v>
      </c>
      <c r="R65">
        <v>2025</v>
      </c>
    </row>
    <row r="66" spans="1:18" x14ac:dyDescent="0.45">
      <c r="A66" t="s">
        <v>174</v>
      </c>
      <c r="B66" t="s">
        <v>32</v>
      </c>
      <c r="C66">
        <f>IFERROR(VALUE(tblRace2025[[#This Row],[Position]]),"")</f>
        <v>5</v>
      </c>
      <c r="D66">
        <v>44</v>
      </c>
      <c r="E66" t="s">
        <v>57</v>
      </c>
      <c r="F66" t="s">
        <v>49</v>
      </c>
      <c r="G66">
        <v>9</v>
      </c>
      <c r="H66">
        <v>57</v>
      </c>
      <c r="I66" t="s">
        <v>183</v>
      </c>
      <c r="J66">
        <v>10</v>
      </c>
      <c r="K66" t="s">
        <v>2</v>
      </c>
      <c r="L66" t="s">
        <v>184</v>
      </c>
      <c r="M66" t="str">
        <f>IFERROR(IF(VALUE(tblRace2025[[#This Row],[Position]])=1,"Yes","No"),"No")</f>
        <v>No</v>
      </c>
      <c r="N66" t="str">
        <f>IFERROR(IF(VALUE(tblRace2025[[#This Row],[Position]])&lt;=3,"Yes","No"),"No")</f>
        <v>No</v>
      </c>
      <c r="O66">
        <f>IFERROR(VALUE(tblRace2025[[#This Row],[Starting Grid]])-VALUE(tblRace2025[[#This Row],[Position]]),0)</f>
        <v>4</v>
      </c>
      <c r="P66" t="str">
        <f>IFERROR(IF(AND(VALUE(tblRace2025[[#This Row],[Starting Grid]])=1,VALUE(tblRace2025[[#This Row],[Position]])=1),"Yes","No"),"No")</f>
        <v>No</v>
      </c>
      <c r="Q66" t="str">
        <f>IF(tblRace2025[[#This Row],[Points]]&gt;0,"Yes","No")</f>
        <v>Yes</v>
      </c>
      <c r="R66">
        <v>2025</v>
      </c>
    </row>
    <row r="67" spans="1:18" x14ac:dyDescent="0.45">
      <c r="A67" t="s">
        <v>174</v>
      </c>
      <c r="B67" t="s">
        <v>37</v>
      </c>
      <c r="C67">
        <f>IFERROR(VALUE(tblRace2025[[#This Row],[Position]]),"")</f>
        <v>6</v>
      </c>
      <c r="D67">
        <v>1</v>
      </c>
      <c r="E67" t="s">
        <v>19</v>
      </c>
      <c r="F67" t="s">
        <v>20</v>
      </c>
      <c r="G67">
        <v>7</v>
      </c>
      <c r="H67">
        <v>57</v>
      </c>
      <c r="I67" t="s">
        <v>185</v>
      </c>
      <c r="J67">
        <v>8</v>
      </c>
      <c r="K67" t="s">
        <v>2</v>
      </c>
      <c r="L67" t="s">
        <v>186</v>
      </c>
      <c r="M67" t="str">
        <f>IFERROR(IF(VALUE(tblRace2025[[#This Row],[Position]])=1,"Yes","No"),"No")</f>
        <v>No</v>
      </c>
      <c r="N67" t="str">
        <f>IFERROR(IF(VALUE(tblRace2025[[#This Row],[Position]])&lt;=3,"Yes","No"),"No")</f>
        <v>No</v>
      </c>
      <c r="O67">
        <f>IFERROR(VALUE(tblRace2025[[#This Row],[Starting Grid]])-VALUE(tblRace2025[[#This Row],[Position]]),0)</f>
        <v>1</v>
      </c>
      <c r="P67" t="str">
        <f>IFERROR(IF(AND(VALUE(tblRace2025[[#This Row],[Starting Grid]])=1,VALUE(tblRace2025[[#This Row],[Position]])=1),"Yes","No"),"No")</f>
        <v>No</v>
      </c>
      <c r="Q67" t="str">
        <f>IF(tblRace2025[[#This Row],[Points]]&gt;0,"Yes","No")</f>
        <v>Yes</v>
      </c>
      <c r="R67">
        <v>2025</v>
      </c>
    </row>
    <row r="68" spans="1:18" x14ac:dyDescent="0.45">
      <c r="A68" t="s">
        <v>174</v>
      </c>
      <c r="B68" t="s">
        <v>42</v>
      </c>
      <c r="C68">
        <f>IFERROR(VALUE(tblRace2025[[#This Row],[Position]]),"")</f>
        <v>7</v>
      </c>
      <c r="D68">
        <v>10</v>
      </c>
      <c r="E68" t="s">
        <v>61</v>
      </c>
      <c r="F68" t="s">
        <v>62</v>
      </c>
      <c r="G68">
        <v>4</v>
      </c>
      <c r="H68">
        <v>57</v>
      </c>
      <c r="I68" t="s">
        <v>187</v>
      </c>
      <c r="J68">
        <v>6</v>
      </c>
      <c r="K68" t="s">
        <v>2</v>
      </c>
      <c r="L68" t="s">
        <v>188</v>
      </c>
      <c r="M68" t="str">
        <f>IFERROR(IF(VALUE(tblRace2025[[#This Row],[Position]])=1,"Yes","No"),"No")</f>
        <v>No</v>
      </c>
      <c r="N68" t="str">
        <f>IFERROR(IF(VALUE(tblRace2025[[#This Row],[Position]])&lt;=3,"Yes","No"),"No")</f>
        <v>No</v>
      </c>
      <c r="O68">
        <f>IFERROR(VALUE(tblRace2025[[#This Row],[Starting Grid]])-VALUE(tblRace2025[[#This Row],[Position]]),0)</f>
        <v>-3</v>
      </c>
      <c r="P68" t="str">
        <f>IFERROR(IF(AND(VALUE(tblRace2025[[#This Row],[Starting Grid]])=1,VALUE(tblRace2025[[#This Row],[Position]])=1),"Yes","No"),"No")</f>
        <v>No</v>
      </c>
      <c r="Q68" t="str">
        <f>IF(tblRace2025[[#This Row],[Points]]&gt;0,"Yes","No")</f>
        <v>Yes</v>
      </c>
      <c r="R68">
        <v>2025</v>
      </c>
    </row>
    <row r="69" spans="1:18" x14ac:dyDescent="0.45">
      <c r="A69" t="s">
        <v>174</v>
      </c>
      <c r="B69" t="s">
        <v>47</v>
      </c>
      <c r="C69">
        <f>IFERROR(VALUE(tblRace2025[[#This Row],[Position]]),"")</f>
        <v>8</v>
      </c>
      <c r="D69">
        <v>31</v>
      </c>
      <c r="E69" t="s">
        <v>71</v>
      </c>
      <c r="F69" t="s">
        <v>72</v>
      </c>
      <c r="G69">
        <v>14</v>
      </c>
      <c r="H69">
        <v>57</v>
      </c>
      <c r="I69" t="s">
        <v>189</v>
      </c>
      <c r="J69">
        <v>4</v>
      </c>
      <c r="K69" t="s">
        <v>2</v>
      </c>
      <c r="L69" t="s">
        <v>190</v>
      </c>
      <c r="M69" t="str">
        <f>IFERROR(IF(VALUE(tblRace2025[[#This Row],[Position]])=1,"Yes","No"),"No")</f>
        <v>No</v>
      </c>
      <c r="N69" t="str">
        <f>IFERROR(IF(VALUE(tblRace2025[[#This Row],[Position]])&lt;=3,"Yes","No"),"No")</f>
        <v>No</v>
      </c>
      <c r="O69">
        <f>IFERROR(VALUE(tblRace2025[[#This Row],[Starting Grid]])-VALUE(tblRace2025[[#This Row],[Position]]),0)</f>
        <v>6</v>
      </c>
      <c r="P69" t="str">
        <f>IFERROR(IF(AND(VALUE(tblRace2025[[#This Row],[Starting Grid]])=1,VALUE(tblRace2025[[#This Row],[Position]])=1),"Yes","No"),"No")</f>
        <v>No</v>
      </c>
      <c r="Q69" t="str">
        <f>IF(tblRace2025[[#This Row],[Points]]&gt;0,"Yes","No")</f>
        <v>Yes</v>
      </c>
      <c r="R69">
        <v>2025</v>
      </c>
    </row>
    <row r="70" spans="1:18" x14ac:dyDescent="0.45">
      <c r="A70" t="s">
        <v>174</v>
      </c>
      <c r="B70" t="s">
        <v>52</v>
      </c>
      <c r="C70">
        <f>IFERROR(VALUE(tblRace2025[[#This Row],[Position]]),"")</f>
        <v>9</v>
      </c>
      <c r="D70">
        <v>22</v>
      </c>
      <c r="E70" t="s">
        <v>66</v>
      </c>
      <c r="F70" t="s">
        <v>20</v>
      </c>
      <c r="G70">
        <v>10</v>
      </c>
      <c r="H70">
        <v>57</v>
      </c>
      <c r="I70" t="s">
        <v>191</v>
      </c>
      <c r="J70">
        <v>2</v>
      </c>
      <c r="K70" t="s">
        <v>2</v>
      </c>
      <c r="L70" t="s">
        <v>192</v>
      </c>
      <c r="M70" t="str">
        <f>IFERROR(IF(VALUE(tblRace2025[[#This Row],[Position]])=1,"Yes","No"),"No")</f>
        <v>No</v>
      </c>
      <c r="N70" t="str">
        <f>IFERROR(IF(VALUE(tblRace2025[[#This Row],[Position]])&lt;=3,"Yes","No"),"No")</f>
        <v>No</v>
      </c>
      <c r="O70">
        <f>IFERROR(VALUE(tblRace2025[[#This Row],[Starting Grid]])-VALUE(tblRace2025[[#This Row],[Position]]),0)</f>
        <v>1</v>
      </c>
      <c r="P70" t="str">
        <f>IFERROR(IF(AND(VALUE(tblRace2025[[#This Row],[Starting Grid]])=1,VALUE(tblRace2025[[#This Row],[Position]])=1),"Yes","No"),"No")</f>
        <v>No</v>
      </c>
      <c r="Q70" t="str">
        <f>IF(tblRace2025[[#This Row],[Points]]&gt;0,"Yes","No")</f>
        <v>Yes</v>
      </c>
      <c r="R70">
        <v>2025</v>
      </c>
    </row>
    <row r="71" spans="1:18" x14ac:dyDescent="0.45">
      <c r="A71" t="s">
        <v>174</v>
      </c>
      <c r="B71" t="s">
        <v>56</v>
      </c>
      <c r="C71">
        <f>IFERROR(VALUE(tblRace2025[[#This Row],[Position]]),"")</f>
        <v>10</v>
      </c>
      <c r="D71">
        <v>87</v>
      </c>
      <c r="E71" t="s">
        <v>76</v>
      </c>
      <c r="F71" t="s">
        <v>72</v>
      </c>
      <c r="G71">
        <v>20</v>
      </c>
      <c r="H71">
        <v>57</v>
      </c>
      <c r="I71" t="s">
        <v>193</v>
      </c>
      <c r="J71">
        <v>1</v>
      </c>
      <c r="K71" t="s">
        <v>2</v>
      </c>
      <c r="L71" t="s">
        <v>194</v>
      </c>
      <c r="M71" t="str">
        <f>IFERROR(IF(VALUE(tblRace2025[[#This Row],[Position]])=1,"Yes","No"),"No")</f>
        <v>No</v>
      </c>
      <c r="N71" t="str">
        <f>IFERROR(IF(VALUE(tblRace2025[[#This Row],[Position]])&lt;=3,"Yes","No"),"No")</f>
        <v>No</v>
      </c>
      <c r="O71">
        <f>IFERROR(VALUE(tblRace2025[[#This Row],[Starting Grid]])-VALUE(tblRace2025[[#This Row],[Position]]),0)</f>
        <v>10</v>
      </c>
      <c r="P71" t="str">
        <f>IFERROR(IF(AND(VALUE(tblRace2025[[#This Row],[Starting Grid]])=1,VALUE(tblRace2025[[#This Row],[Position]])=1),"Yes","No"),"No")</f>
        <v>No</v>
      </c>
      <c r="Q71" t="str">
        <f>IF(tblRace2025[[#This Row],[Points]]&gt;0,"Yes","No")</f>
        <v>Yes</v>
      </c>
      <c r="R71">
        <v>2025</v>
      </c>
    </row>
    <row r="72" spans="1:18" x14ac:dyDescent="0.45">
      <c r="A72" t="s">
        <v>174</v>
      </c>
      <c r="B72" t="s">
        <v>60</v>
      </c>
      <c r="C72">
        <f>IFERROR(VALUE(tblRace2025[[#This Row],[Position]]),"")</f>
        <v>11</v>
      </c>
      <c r="D72">
        <v>12</v>
      </c>
      <c r="E72" t="s">
        <v>29</v>
      </c>
      <c r="F72" t="s">
        <v>25</v>
      </c>
      <c r="G72">
        <v>5</v>
      </c>
      <c r="H72">
        <v>57</v>
      </c>
      <c r="I72" t="s">
        <v>195</v>
      </c>
      <c r="J72">
        <v>0</v>
      </c>
      <c r="K72" t="s">
        <v>2</v>
      </c>
      <c r="L72" t="s">
        <v>196</v>
      </c>
      <c r="M72" t="str">
        <f>IFERROR(IF(VALUE(tblRace2025[[#This Row],[Position]])=1,"Yes","No"),"No")</f>
        <v>No</v>
      </c>
      <c r="N72" t="str">
        <f>IFERROR(IF(VALUE(tblRace2025[[#This Row],[Position]])&lt;=3,"Yes","No"),"No")</f>
        <v>No</v>
      </c>
      <c r="O72">
        <f>IFERROR(VALUE(tblRace2025[[#This Row],[Starting Grid]])-VALUE(tblRace2025[[#This Row],[Position]]),0)</f>
        <v>-6</v>
      </c>
      <c r="P72" t="str">
        <f>IFERROR(IF(AND(VALUE(tblRace2025[[#This Row],[Starting Grid]])=1,VALUE(tblRace2025[[#This Row],[Position]])=1),"Yes","No"),"No")</f>
        <v>No</v>
      </c>
      <c r="Q72" t="str">
        <f>IF(tblRace2025[[#This Row],[Points]]&gt;0,"Yes","No")</f>
        <v>No</v>
      </c>
      <c r="R72">
        <v>2025</v>
      </c>
    </row>
    <row r="73" spans="1:18" x14ac:dyDescent="0.45">
      <c r="A73" t="s">
        <v>174</v>
      </c>
      <c r="B73" t="s">
        <v>65</v>
      </c>
      <c r="C73">
        <f>IFERROR(VALUE(tblRace2025[[#This Row],[Position]]),"")</f>
        <v>12</v>
      </c>
      <c r="D73">
        <v>23</v>
      </c>
      <c r="E73" t="s">
        <v>33</v>
      </c>
      <c r="F73" t="s">
        <v>34</v>
      </c>
      <c r="G73">
        <v>15</v>
      </c>
      <c r="H73">
        <v>57</v>
      </c>
      <c r="I73" t="s">
        <v>197</v>
      </c>
      <c r="J73">
        <v>0</v>
      </c>
      <c r="K73" t="s">
        <v>2</v>
      </c>
      <c r="L73" t="s">
        <v>198</v>
      </c>
      <c r="M73" t="str">
        <f>IFERROR(IF(VALUE(tblRace2025[[#This Row],[Position]])=1,"Yes","No"),"No")</f>
        <v>No</v>
      </c>
      <c r="N73" t="str">
        <f>IFERROR(IF(VALUE(tblRace2025[[#This Row],[Position]])&lt;=3,"Yes","No"),"No")</f>
        <v>No</v>
      </c>
      <c r="O73">
        <f>IFERROR(VALUE(tblRace2025[[#This Row],[Starting Grid]])-VALUE(tblRace2025[[#This Row],[Position]]),0)</f>
        <v>3</v>
      </c>
      <c r="P73" t="str">
        <f>IFERROR(IF(AND(VALUE(tblRace2025[[#This Row],[Starting Grid]])=1,VALUE(tblRace2025[[#This Row],[Position]])=1),"Yes","No"),"No")</f>
        <v>No</v>
      </c>
      <c r="Q73" t="str">
        <f>IF(tblRace2025[[#This Row],[Points]]&gt;0,"Yes","No")</f>
        <v>No</v>
      </c>
      <c r="R73">
        <v>2025</v>
      </c>
    </row>
    <row r="74" spans="1:18" x14ac:dyDescent="0.45">
      <c r="A74" t="s">
        <v>174</v>
      </c>
      <c r="B74" t="s">
        <v>70</v>
      </c>
      <c r="C74">
        <f>IFERROR(VALUE(tblRace2025[[#This Row],[Position]]),"")</f>
        <v>13</v>
      </c>
      <c r="D74">
        <v>6</v>
      </c>
      <c r="E74" t="s">
        <v>90</v>
      </c>
      <c r="F74" t="s">
        <v>67</v>
      </c>
      <c r="G74">
        <v>12</v>
      </c>
      <c r="H74">
        <v>57</v>
      </c>
      <c r="I74" t="s">
        <v>199</v>
      </c>
      <c r="J74">
        <v>0</v>
      </c>
      <c r="K74" t="s">
        <v>2</v>
      </c>
      <c r="L74" t="s">
        <v>200</v>
      </c>
      <c r="M74" t="str">
        <f>IFERROR(IF(VALUE(tblRace2025[[#This Row],[Position]])=1,"Yes","No"),"No")</f>
        <v>No</v>
      </c>
      <c r="N74" t="str">
        <f>IFERROR(IF(VALUE(tblRace2025[[#This Row],[Position]])&lt;=3,"Yes","No"),"No")</f>
        <v>No</v>
      </c>
      <c r="O74">
        <f>IFERROR(VALUE(tblRace2025[[#This Row],[Starting Grid]])-VALUE(tblRace2025[[#This Row],[Position]]),0)</f>
        <v>-1</v>
      </c>
      <c r="P74" t="str">
        <f>IFERROR(IF(AND(VALUE(tblRace2025[[#This Row],[Starting Grid]])=1,VALUE(tblRace2025[[#This Row],[Position]])=1),"Yes","No"),"No")</f>
        <v>No</v>
      </c>
      <c r="Q74" t="str">
        <f>IF(tblRace2025[[#This Row],[Points]]&gt;0,"Yes","No")</f>
        <v>No</v>
      </c>
      <c r="R74">
        <v>2025</v>
      </c>
    </row>
    <row r="75" spans="1:18" x14ac:dyDescent="0.45">
      <c r="A75" t="s">
        <v>174</v>
      </c>
      <c r="B75" t="s">
        <v>75</v>
      </c>
      <c r="C75">
        <f>IFERROR(VALUE(tblRace2025[[#This Row],[Position]]),"")</f>
        <v>14</v>
      </c>
      <c r="D75">
        <v>7</v>
      </c>
      <c r="E75" t="s">
        <v>89</v>
      </c>
      <c r="F75" t="s">
        <v>62</v>
      </c>
      <c r="G75">
        <v>11</v>
      </c>
      <c r="H75">
        <v>57</v>
      </c>
      <c r="I75" t="s">
        <v>201</v>
      </c>
      <c r="J75">
        <v>0</v>
      </c>
      <c r="K75" t="s">
        <v>2</v>
      </c>
      <c r="L75" t="s">
        <v>202</v>
      </c>
      <c r="M75" t="str">
        <f>IFERROR(IF(VALUE(tblRace2025[[#This Row],[Position]])=1,"Yes","No"),"No")</f>
        <v>No</v>
      </c>
      <c r="N75" t="str">
        <f>IFERROR(IF(VALUE(tblRace2025[[#This Row],[Position]])&lt;=3,"Yes","No"),"No")</f>
        <v>No</v>
      </c>
      <c r="O75">
        <f>IFERROR(VALUE(tblRace2025[[#This Row],[Starting Grid]])-VALUE(tblRace2025[[#This Row],[Position]]),0)</f>
        <v>-3</v>
      </c>
      <c r="P75" t="str">
        <f>IFERROR(IF(AND(VALUE(tblRace2025[[#This Row],[Starting Grid]])=1,VALUE(tblRace2025[[#This Row],[Position]])=1),"Yes","No"),"No")</f>
        <v>No</v>
      </c>
      <c r="Q75" t="str">
        <f>IF(tblRace2025[[#This Row],[Points]]&gt;0,"Yes","No")</f>
        <v>No</v>
      </c>
      <c r="R75">
        <v>2025</v>
      </c>
    </row>
    <row r="76" spans="1:18" x14ac:dyDescent="0.45">
      <c r="A76" t="s">
        <v>174</v>
      </c>
      <c r="B76" t="s">
        <v>120</v>
      </c>
      <c r="C76">
        <f>IFERROR(VALUE(tblRace2025[[#This Row],[Position]]),"")</f>
        <v>15</v>
      </c>
      <c r="D76">
        <v>14</v>
      </c>
      <c r="E76" t="s">
        <v>85</v>
      </c>
      <c r="F76" t="s">
        <v>39</v>
      </c>
      <c r="G76">
        <v>13</v>
      </c>
      <c r="H76">
        <v>57</v>
      </c>
      <c r="I76" t="s">
        <v>203</v>
      </c>
      <c r="J76">
        <v>0</v>
      </c>
      <c r="K76" t="s">
        <v>2</v>
      </c>
      <c r="L76" t="s">
        <v>204</v>
      </c>
      <c r="M76" t="str">
        <f>IFERROR(IF(VALUE(tblRace2025[[#This Row],[Position]])=1,"Yes","No"),"No")</f>
        <v>No</v>
      </c>
      <c r="N76" t="str">
        <f>IFERROR(IF(VALUE(tblRace2025[[#This Row],[Position]])&lt;=3,"Yes","No"),"No")</f>
        <v>No</v>
      </c>
      <c r="O76">
        <f>IFERROR(VALUE(tblRace2025[[#This Row],[Starting Grid]])-VALUE(tblRace2025[[#This Row],[Position]]),0)</f>
        <v>-2</v>
      </c>
      <c r="P76" t="str">
        <f>IFERROR(IF(AND(VALUE(tblRace2025[[#This Row],[Starting Grid]])=1,VALUE(tblRace2025[[#This Row],[Position]])=1),"Yes","No"),"No")</f>
        <v>No</v>
      </c>
      <c r="Q76" t="str">
        <f>IF(tblRace2025[[#This Row],[Points]]&gt;0,"Yes","No")</f>
        <v>No</v>
      </c>
      <c r="R76">
        <v>2025</v>
      </c>
    </row>
    <row r="77" spans="1:18" x14ac:dyDescent="0.45">
      <c r="A77" t="s">
        <v>174</v>
      </c>
      <c r="B77" t="s">
        <v>122</v>
      </c>
      <c r="C77">
        <f>IFERROR(VALUE(tblRace2025[[#This Row],[Position]]),"")</f>
        <v>16</v>
      </c>
      <c r="D77">
        <v>30</v>
      </c>
      <c r="E77" t="s">
        <v>80</v>
      </c>
      <c r="F77" t="s">
        <v>67</v>
      </c>
      <c r="G77">
        <v>17</v>
      </c>
      <c r="H77">
        <v>57</v>
      </c>
      <c r="I77" t="s">
        <v>205</v>
      </c>
      <c r="J77">
        <v>0</v>
      </c>
      <c r="K77" t="s">
        <v>2</v>
      </c>
      <c r="L77" t="s">
        <v>206</v>
      </c>
      <c r="M77" t="str">
        <f>IFERROR(IF(VALUE(tblRace2025[[#This Row],[Position]])=1,"Yes","No"),"No")</f>
        <v>No</v>
      </c>
      <c r="N77" t="str">
        <f>IFERROR(IF(VALUE(tblRace2025[[#This Row],[Position]])&lt;=3,"Yes","No"),"No")</f>
        <v>No</v>
      </c>
      <c r="O77">
        <f>IFERROR(VALUE(tblRace2025[[#This Row],[Starting Grid]])-VALUE(tblRace2025[[#This Row],[Position]]),0)</f>
        <v>1</v>
      </c>
      <c r="P77" t="str">
        <f>IFERROR(IF(AND(VALUE(tblRace2025[[#This Row],[Starting Grid]])=1,VALUE(tblRace2025[[#This Row],[Position]])=1),"Yes","No"),"No")</f>
        <v>No</v>
      </c>
      <c r="Q77" t="str">
        <f>IF(tblRace2025[[#This Row],[Points]]&gt;0,"Yes","No")</f>
        <v>No</v>
      </c>
      <c r="R77">
        <v>2025</v>
      </c>
    </row>
    <row r="78" spans="1:18" x14ac:dyDescent="0.45">
      <c r="A78" t="s">
        <v>174</v>
      </c>
      <c r="B78" t="s">
        <v>163</v>
      </c>
      <c r="C78">
        <f>IFERROR(VALUE(tblRace2025[[#This Row],[Position]]),"")</f>
        <v>17</v>
      </c>
      <c r="D78">
        <v>18</v>
      </c>
      <c r="E78" t="s">
        <v>38</v>
      </c>
      <c r="F78" t="s">
        <v>39</v>
      </c>
      <c r="G78">
        <v>19</v>
      </c>
      <c r="H78">
        <v>57</v>
      </c>
      <c r="I78" t="s">
        <v>207</v>
      </c>
      <c r="J78">
        <v>0</v>
      </c>
      <c r="K78" t="s">
        <v>2</v>
      </c>
      <c r="L78" t="s">
        <v>208</v>
      </c>
      <c r="M78" t="str">
        <f>IFERROR(IF(VALUE(tblRace2025[[#This Row],[Position]])=1,"Yes","No"),"No")</f>
        <v>No</v>
      </c>
      <c r="N78" t="str">
        <f>IFERROR(IF(VALUE(tblRace2025[[#This Row],[Position]])&lt;=3,"Yes","No"),"No")</f>
        <v>No</v>
      </c>
      <c r="O78">
        <f>IFERROR(VALUE(tblRace2025[[#This Row],[Starting Grid]])-VALUE(tblRace2025[[#This Row],[Position]]),0)</f>
        <v>2</v>
      </c>
      <c r="P78" t="str">
        <f>IFERROR(IF(AND(VALUE(tblRace2025[[#This Row],[Starting Grid]])=1,VALUE(tblRace2025[[#This Row],[Position]])=1),"Yes","No"),"No")</f>
        <v>No</v>
      </c>
      <c r="Q78" t="str">
        <f>IF(tblRace2025[[#This Row],[Points]]&gt;0,"Yes","No")</f>
        <v>No</v>
      </c>
      <c r="R78">
        <v>2025</v>
      </c>
    </row>
    <row r="79" spans="1:18" x14ac:dyDescent="0.45">
      <c r="A79" t="s">
        <v>174</v>
      </c>
      <c r="B79" t="s">
        <v>166</v>
      </c>
      <c r="C79">
        <f>IFERROR(VALUE(tblRace2025[[#This Row],[Position]]),"")</f>
        <v>18</v>
      </c>
      <c r="D79">
        <v>5</v>
      </c>
      <c r="E79" t="s">
        <v>83</v>
      </c>
      <c r="F79" t="s">
        <v>44</v>
      </c>
      <c r="G79">
        <v>18</v>
      </c>
      <c r="H79">
        <v>57</v>
      </c>
      <c r="I79" t="s">
        <v>209</v>
      </c>
      <c r="J79">
        <v>0</v>
      </c>
      <c r="K79" t="s">
        <v>2</v>
      </c>
      <c r="L79" t="s">
        <v>210</v>
      </c>
      <c r="M79" t="str">
        <f>IFERROR(IF(VALUE(tblRace2025[[#This Row],[Position]])=1,"Yes","No"),"No")</f>
        <v>No</v>
      </c>
      <c r="N79" t="str">
        <f>IFERROR(IF(VALUE(tblRace2025[[#This Row],[Position]])&lt;=3,"Yes","No"),"No")</f>
        <v>No</v>
      </c>
      <c r="O79">
        <f>IFERROR(VALUE(tblRace2025[[#This Row],[Starting Grid]])-VALUE(tblRace2025[[#This Row],[Position]]),0)</f>
        <v>0</v>
      </c>
      <c r="P79" t="str">
        <f>IFERROR(IF(AND(VALUE(tblRace2025[[#This Row],[Starting Grid]])=1,VALUE(tblRace2025[[#This Row],[Position]])=1),"Yes","No"),"No")</f>
        <v>No</v>
      </c>
      <c r="Q79" t="str">
        <f>IF(tblRace2025[[#This Row],[Points]]&gt;0,"Yes","No")</f>
        <v>No</v>
      </c>
      <c r="R79">
        <v>2025</v>
      </c>
    </row>
    <row r="80" spans="1:18" x14ac:dyDescent="0.45">
      <c r="A80" t="s">
        <v>174</v>
      </c>
      <c r="B80" t="s">
        <v>79</v>
      </c>
      <c r="C80" t="str">
        <f>IFERROR(VALUE(tblRace2025[[#This Row],[Position]]),"")</f>
        <v/>
      </c>
      <c r="D80">
        <v>55</v>
      </c>
      <c r="E80" t="s">
        <v>87</v>
      </c>
      <c r="F80" t="s">
        <v>34</v>
      </c>
      <c r="G80">
        <v>8</v>
      </c>
      <c r="H80">
        <v>45</v>
      </c>
      <c r="I80" t="s">
        <v>81</v>
      </c>
      <c r="J80">
        <v>0</v>
      </c>
      <c r="K80" t="s">
        <v>2</v>
      </c>
      <c r="L80" t="s">
        <v>211</v>
      </c>
      <c r="M80" t="str">
        <f>IFERROR(IF(VALUE(tblRace2025[[#This Row],[Position]])=1,"Yes","No"),"No")</f>
        <v>No</v>
      </c>
      <c r="N80" t="str">
        <f>IFERROR(IF(VALUE(tblRace2025[[#This Row],[Position]])&lt;=3,"Yes","No"),"No")</f>
        <v>No</v>
      </c>
      <c r="O80">
        <f>IFERROR(VALUE(tblRace2025[[#This Row],[Starting Grid]])-VALUE(tblRace2025[[#This Row],[Position]]),0)</f>
        <v>0</v>
      </c>
      <c r="P80" t="str">
        <f>IFERROR(IF(AND(VALUE(tblRace2025[[#This Row],[Starting Grid]])=1,VALUE(tblRace2025[[#This Row],[Position]])=1),"Yes","No"),"No")</f>
        <v>No</v>
      </c>
      <c r="Q80" t="str">
        <f>IF(tblRace2025[[#This Row],[Points]]&gt;0,"Yes","No")</f>
        <v>No</v>
      </c>
      <c r="R80">
        <v>2025</v>
      </c>
    </row>
    <row r="81" spans="1:18" x14ac:dyDescent="0.45">
      <c r="A81" t="s">
        <v>174</v>
      </c>
      <c r="B81" t="s">
        <v>125</v>
      </c>
      <c r="C81" t="str">
        <f>IFERROR(VALUE(tblRace2025[[#This Row],[Position]]),"")</f>
        <v/>
      </c>
      <c r="D81">
        <v>27</v>
      </c>
      <c r="E81" t="s">
        <v>43</v>
      </c>
      <c r="F81" t="s">
        <v>44</v>
      </c>
      <c r="G81">
        <v>16</v>
      </c>
      <c r="H81">
        <v>0</v>
      </c>
      <c r="I81" t="s">
        <v>126</v>
      </c>
      <c r="J81">
        <v>0</v>
      </c>
      <c r="K81" t="s">
        <v>2</v>
      </c>
      <c r="L81" t="s">
        <v>212</v>
      </c>
      <c r="M81" t="str">
        <f>IFERROR(IF(VALUE(tblRace2025[[#This Row],[Position]])=1,"Yes","No"),"No")</f>
        <v>No</v>
      </c>
      <c r="N81" t="str">
        <f>IFERROR(IF(VALUE(tblRace2025[[#This Row],[Position]])&lt;=3,"Yes","No"),"No")</f>
        <v>No</v>
      </c>
      <c r="O81">
        <f>IFERROR(VALUE(tblRace2025[[#This Row],[Starting Grid]])-VALUE(tblRace2025[[#This Row],[Position]]),0)</f>
        <v>0</v>
      </c>
      <c r="P81" t="str">
        <f>IFERROR(IF(AND(VALUE(tblRace2025[[#This Row],[Starting Grid]])=1,VALUE(tblRace2025[[#This Row],[Position]])=1),"Yes","No"),"No")</f>
        <v>No</v>
      </c>
      <c r="Q81" t="str">
        <f>IF(tblRace2025[[#This Row],[Points]]&gt;0,"Yes","No")</f>
        <v>No</v>
      </c>
      <c r="R81">
        <v>2025</v>
      </c>
    </row>
    <row r="82" spans="1:18" x14ac:dyDescent="0.45">
      <c r="A82" t="s">
        <v>213</v>
      </c>
      <c r="B82" t="s">
        <v>12</v>
      </c>
      <c r="C82">
        <f>IFERROR(VALUE(tblRace2025[[#This Row],[Position]]),"")</f>
        <v>1</v>
      </c>
      <c r="D82">
        <v>81</v>
      </c>
      <c r="E82" t="s">
        <v>53</v>
      </c>
      <c r="F82" t="s">
        <v>14</v>
      </c>
      <c r="G82">
        <v>2</v>
      </c>
      <c r="H82">
        <v>50</v>
      </c>
      <c r="I82" t="s">
        <v>214</v>
      </c>
      <c r="J82">
        <v>25</v>
      </c>
      <c r="K82" t="s">
        <v>2</v>
      </c>
      <c r="L82" t="s">
        <v>215</v>
      </c>
      <c r="M82" t="str">
        <f>IFERROR(IF(VALUE(tblRace2025[[#This Row],[Position]])=1,"Yes","No"),"No")</f>
        <v>Yes</v>
      </c>
      <c r="N82" t="str">
        <f>IFERROR(IF(VALUE(tblRace2025[[#This Row],[Position]])&lt;=3,"Yes","No"),"No")</f>
        <v>Yes</v>
      </c>
      <c r="O82">
        <f>IFERROR(VALUE(tblRace2025[[#This Row],[Starting Grid]])-VALUE(tblRace2025[[#This Row],[Position]]),0)</f>
        <v>1</v>
      </c>
      <c r="P82" t="str">
        <f>IFERROR(IF(AND(VALUE(tblRace2025[[#This Row],[Starting Grid]])=1,VALUE(tblRace2025[[#This Row],[Position]])=1),"Yes","No"),"No")</f>
        <v>No</v>
      </c>
      <c r="Q82" t="str">
        <f>IF(tblRace2025[[#This Row],[Points]]&gt;0,"Yes","No")</f>
        <v>Yes</v>
      </c>
      <c r="R82">
        <v>2025</v>
      </c>
    </row>
    <row r="83" spans="1:18" x14ac:dyDescent="0.45">
      <c r="A83" t="s">
        <v>213</v>
      </c>
      <c r="B83" t="s">
        <v>18</v>
      </c>
      <c r="C83">
        <f>IFERROR(VALUE(tblRace2025[[#This Row],[Position]]),"")</f>
        <v>2</v>
      </c>
      <c r="D83">
        <v>1</v>
      </c>
      <c r="E83" t="s">
        <v>19</v>
      </c>
      <c r="F83" t="s">
        <v>20</v>
      </c>
      <c r="G83">
        <v>1</v>
      </c>
      <c r="H83">
        <v>50</v>
      </c>
      <c r="I83" t="s">
        <v>216</v>
      </c>
      <c r="J83">
        <v>18</v>
      </c>
      <c r="K83" t="s">
        <v>2</v>
      </c>
      <c r="L83" t="s">
        <v>217</v>
      </c>
      <c r="M83" t="str">
        <f>IFERROR(IF(VALUE(tblRace2025[[#This Row],[Position]])=1,"Yes","No"),"No")</f>
        <v>No</v>
      </c>
      <c r="N83" t="str">
        <f>IFERROR(IF(VALUE(tblRace2025[[#This Row],[Position]])&lt;=3,"Yes","No"),"No")</f>
        <v>Yes</v>
      </c>
      <c r="O83">
        <f>IFERROR(VALUE(tblRace2025[[#This Row],[Starting Grid]])-VALUE(tblRace2025[[#This Row],[Position]]),0)</f>
        <v>-1</v>
      </c>
      <c r="P83" t="str">
        <f>IFERROR(IF(AND(VALUE(tblRace2025[[#This Row],[Starting Grid]])=1,VALUE(tblRace2025[[#This Row],[Position]])=1),"Yes","No"),"No")</f>
        <v>No</v>
      </c>
      <c r="Q83" t="str">
        <f>IF(tblRace2025[[#This Row],[Points]]&gt;0,"Yes","No")</f>
        <v>Yes</v>
      </c>
      <c r="R83">
        <v>2025</v>
      </c>
    </row>
    <row r="84" spans="1:18" x14ac:dyDescent="0.45">
      <c r="A84" t="s">
        <v>213</v>
      </c>
      <c r="B84" t="s">
        <v>23</v>
      </c>
      <c r="C84">
        <f>IFERROR(VALUE(tblRace2025[[#This Row],[Position]]),"")</f>
        <v>3</v>
      </c>
      <c r="D84">
        <v>16</v>
      </c>
      <c r="E84" t="s">
        <v>48</v>
      </c>
      <c r="F84" t="s">
        <v>49</v>
      </c>
      <c r="G84">
        <v>4</v>
      </c>
      <c r="H84">
        <v>50</v>
      </c>
      <c r="I84" t="s">
        <v>218</v>
      </c>
      <c r="J84">
        <v>15</v>
      </c>
      <c r="K84" t="s">
        <v>2</v>
      </c>
      <c r="L84" t="s">
        <v>219</v>
      </c>
      <c r="M84" t="str">
        <f>IFERROR(IF(VALUE(tblRace2025[[#This Row],[Position]])=1,"Yes","No"),"No")</f>
        <v>No</v>
      </c>
      <c r="N84" t="str">
        <f>IFERROR(IF(VALUE(tblRace2025[[#This Row],[Position]])&lt;=3,"Yes","No"),"No")</f>
        <v>Yes</v>
      </c>
      <c r="O84">
        <f>IFERROR(VALUE(tblRace2025[[#This Row],[Starting Grid]])-VALUE(tblRace2025[[#This Row],[Position]]),0)</f>
        <v>1</v>
      </c>
      <c r="P84" t="str">
        <f>IFERROR(IF(AND(VALUE(tblRace2025[[#This Row],[Starting Grid]])=1,VALUE(tblRace2025[[#This Row],[Position]])=1),"Yes","No"),"No")</f>
        <v>No</v>
      </c>
      <c r="Q84" t="str">
        <f>IF(tblRace2025[[#This Row],[Points]]&gt;0,"Yes","No")</f>
        <v>Yes</v>
      </c>
      <c r="R84">
        <v>2025</v>
      </c>
    </row>
    <row r="85" spans="1:18" x14ac:dyDescent="0.45">
      <c r="A85" t="s">
        <v>213</v>
      </c>
      <c r="B85" t="s">
        <v>28</v>
      </c>
      <c r="C85">
        <f>IFERROR(VALUE(tblRace2025[[#This Row],[Position]]),"")</f>
        <v>4</v>
      </c>
      <c r="D85">
        <v>4</v>
      </c>
      <c r="E85" t="s">
        <v>13</v>
      </c>
      <c r="F85" t="s">
        <v>14</v>
      </c>
      <c r="G85">
        <v>10</v>
      </c>
      <c r="H85">
        <v>50</v>
      </c>
      <c r="I85" t="s">
        <v>220</v>
      </c>
      <c r="J85">
        <v>12</v>
      </c>
      <c r="K85" t="s">
        <v>16</v>
      </c>
      <c r="L85" t="s">
        <v>221</v>
      </c>
      <c r="M85" t="str">
        <f>IFERROR(IF(VALUE(tblRace2025[[#This Row],[Position]])=1,"Yes","No"),"No")</f>
        <v>No</v>
      </c>
      <c r="N85" t="str">
        <f>IFERROR(IF(VALUE(tblRace2025[[#This Row],[Position]])&lt;=3,"Yes","No"),"No")</f>
        <v>No</v>
      </c>
      <c r="O85">
        <f>IFERROR(VALUE(tblRace2025[[#This Row],[Starting Grid]])-VALUE(tblRace2025[[#This Row],[Position]]),0)</f>
        <v>6</v>
      </c>
      <c r="P85" t="str">
        <f>IFERROR(IF(AND(VALUE(tblRace2025[[#This Row],[Starting Grid]])=1,VALUE(tblRace2025[[#This Row],[Position]])=1),"Yes","No"),"No")</f>
        <v>No</v>
      </c>
      <c r="Q85" t="str">
        <f>IF(tblRace2025[[#This Row],[Points]]&gt;0,"Yes","No")</f>
        <v>Yes</v>
      </c>
      <c r="R85">
        <v>2025</v>
      </c>
    </row>
    <row r="86" spans="1:18" x14ac:dyDescent="0.45">
      <c r="A86" t="s">
        <v>213</v>
      </c>
      <c r="B86" t="s">
        <v>32</v>
      </c>
      <c r="C86">
        <f>IFERROR(VALUE(tblRace2025[[#This Row],[Position]]),"")</f>
        <v>5</v>
      </c>
      <c r="D86">
        <v>63</v>
      </c>
      <c r="E86" t="s">
        <v>24</v>
      </c>
      <c r="F86" t="s">
        <v>25</v>
      </c>
      <c r="G86">
        <v>3</v>
      </c>
      <c r="H86">
        <v>50</v>
      </c>
      <c r="I86" t="s">
        <v>222</v>
      </c>
      <c r="J86">
        <v>10</v>
      </c>
      <c r="K86" t="s">
        <v>2</v>
      </c>
      <c r="L86" t="s">
        <v>223</v>
      </c>
      <c r="M86" t="str">
        <f>IFERROR(IF(VALUE(tblRace2025[[#This Row],[Position]])=1,"Yes","No"),"No")</f>
        <v>No</v>
      </c>
      <c r="N86" t="str">
        <f>IFERROR(IF(VALUE(tblRace2025[[#This Row],[Position]])&lt;=3,"Yes","No"),"No")</f>
        <v>No</v>
      </c>
      <c r="O86">
        <f>IFERROR(VALUE(tblRace2025[[#This Row],[Starting Grid]])-VALUE(tblRace2025[[#This Row],[Position]]),0)</f>
        <v>-2</v>
      </c>
      <c r="P86" t="str">
        <f>IFERROR(IF(AND(VALUE(tblRace2025[[#This Row],[Starting Grid]])=1,VALUE(tblRace2025[[#This Row],[Position]])=1),"Yes","No"),"No")</f>
        <v>No</v>
      </c>
      <c r="Q86" t="str">
        <f>IF(tblRace2025[[#This Row],[Points]]&gt;0,"Yes","No")</f>
        <v>Yes</v>
      </c>
      <c r="R86">
        <v>2025</v>
      </c>
    </row>
    <row r="87" spans="1:18" x14ac:dyDescent="0.45">
      <c r="A87" t="s">
        <v>213</v>
      </c>
      <c r="B87" t="s">
        <v>37</v>
      </c>
      <c r="C87">
        <f>IFERROR(VALUE(tblRace2025[[#This Row],[Position]]),"")</f>
        <v>6</v>
      </c>
      <c r="D87">
        <v>12</v>
      </c>
      <c r="E87" t="s">
        <v>29</v>
      </c>
      <c r="F87" t="s">
        <v>25</v>
      </c>
      <c r="G87">
        <v>5</v>
      </c>
      <c r="H87">
        <v>50</v>
      </c>
      <c r="I87" t="s">
        <v>224</v>
      </c>
      <c r="J87">
        <v>8</v>
      </c>
      <c r="K87" t="s">
        <v>2</v>
      </c>
      <c r="L87" t="s">
        <v>225</v>
      </c>
      <c r="M87" t="str">
        <f>IFERROR(IF(VALUE(tblRace2025[[#This Row],[Position]])=1,"Yes","No"),"No")</f>
        <v>No</v>
      </c>
      <c r="N87" t="str">
        <f>IFERROR(IF(VALUE(tblRace2025[[#This Row],[Position]])&lt;=3,"Yes","No"),"No")</f>
        <v>No</v>
      </c>
      <c r="O87">
        <f>IFERROR(VALUE(tblRace2025[[#This Row],[Starting Grid]])-VALUE(tblRace2025[[#This Row],[Position]]),0)</f>
        <v>-1</v>
      </c>
      <c r="P87" t="str">
        <f>IFERROR(IF(AND(VALUE(tblRace2025[[#This Row],[Starting Grid]])=1,VALUE(tblRace2025[[#This Row],[Position]])=1),"Yes","No"),"No")</f>
        <v>No</v>
      </c>
      <c r="Q87" t="str">
        <f>IF(tblRace2025[[#This Row],[Points]]&gt;0,"Yes","No")</f>
        <v>Yes</v>
      </c>
      <c r="R87">
        <v>2025</v>
      </c>
    </row>
    <row r="88" spans="1:18" x14ac:dyDescent="0.45">
      <c r="A88" t="s">
        <v>213</v>
      </c>
      <c r="B88" t="s">
        <v>42</v>
      </c>
      <c r="C88">
        <f>IFERROR(VALUE(tblRace2025[[#This Row],[Position]]),"")</f>
        <v>7</v>
      </c>
      <c r="D88">
        <v>44</v>
      </c>
      <c r="E88" t="s">
        <v>57</v>
      </c>
      <c r="F88" t="s">
        <v>49</v>
      </c>
      <c r="G88">
        <v>7</v>
      </c>
      <c r="H88">
        <v>50</v>
      </c>
      <c r="I88" t="s">
        <v>226</v>
      </c>
      <c r="J88">
        <v>6</v>
      </c>
      <c r="K88" t="s">
        <v>2</v>
      </c>
      <c r="L88" t="s">
        <v>227</v>
      </c>
      <c r="M88" t="str">
        <f>IFERROR(IF(VALUE(tblRace2025[[#This Row],[Position]])=1,"Yes","No"),"No")</f>
        <v>No</v>
      </c>
      <c r="N88" t="str">
        <f>IFERROR(IF(VALUE(tblRace2025[[#This Row],[Position]])&lt;=3,"Yes","No"),"No")</f>
        <v>No</v>
      </c>
      <c r="O88">
        <f>IFERROR(VALUE(tblRace2025[[#This Row],[Starting Grid]])-VALUE(tblRace2025[[#This Row],[Position]]),0)</f>
        <v>0</v>
      </c>
      <c r="P88" t="str">
        <f>IFERROR(IF(AND(VALUE(tblRace2025[[#This Row],[Starting Grid]])=1,VALUE(tblRace2025[[#This Row],[Position]])=1),"Yes","No"),"No")</f>
        <v>No</v>
      </c>
      <c r="Q88" t="str">
        <f>IF(tblRace2025[[#This Row],[Points]]&gt;0,"Yes","No")</f>
        <v>Yes</v>
      </c>
      <c r="R88">
        <v>2025</v>
      </c>
    </row>
    <row r="89" spans="1:18" x14ac:dyDescent="0.45">
      <c r="A89" t="s">
        <v>213</v>
      </c>
      <c r="B89" t="s">
        <v>47</v>
      </c>
      <c r="C89">
        <f>IFERROR(VALUE(tblRace2025[[#This Row],[Position]]),"")</f>
        <v>8</v>
      </c>
      <c r="D89">
        <v>55</v>
      </c>
      <c r="E89" t="s">
        <v>87</v>
      </c>
      <c r="F89" t="s">
        <v>34</v>
      </c>
      <c r="G89">
        <v>6</v>
      </c>
      <c r="H89">
        <v>50</v>
      </c>
      <c r="I89" t="s">
        <v>228</v>
      </c>
      <c r="J89">
        <v>4</v>
      </c>
      <c r="K89" t="s">
        <v>2</v>
      </c>
      <c r="L89" t="s">
        <v>229</v>
      </c>
      <c r="M89" t="str">
        <f>IFERROR(IF(VALUE(tblRace2025[[#This Row],[Position]])=1,"Yes","No"),"No")</f>
        <v>No</v>
      </c>
      <c r="N89" t="str">
        <f>IFERROR(IF(VALUE(tblRace2025[[#This Row],[Position]])&lt;=3,"Yes","No"),"No")</f>
        <v>No</v>
      </c>
      <c r="O89">
        <f>IFERROR(VALUE(tblRace2025[[#This Row],[Starting Grid]])-VALUE(tblRace2025[[#This Row],[Position]]),0)</f>
        <v>-2</v>
      </c>
      <c r="P89" t="str">
        <f>IFERROR(IF(AND(VALUE(tblRace2025[[#This Row],[Starting Grid]])=1,VALUE(tblRace2025[[#This Row],[Position]])=1),"Yes","No"),"No")</f>
        <v>No</v>
      </c>
      <c r="Q89" t="str">
        <f>IF(tblRace2025[[#This Row],[Points]]&gt;0,"Yes","No")</f>
        <v>Yes</v>
      </c>
      <c r="R89">
        <v>2025</v>
      </c>
    </row>
    <row r="90" spans="1:18" x14ac:dyDescent="0.45">
      <c r="A90" t="s">
        <v>213</v>
      </c>
      <c r="B90" t="s">
        <v>52</v>
      </c>
      <c r="C90">
        <f>IFERROR(VALUE(tblRace2025[[#This Row],[Position]]),"")</f>
        <v>9</v>
      </c>
      <c r="D90">
        <v>23</v>
      </c>
      <c r="E90" t="s">
        <v>33</v>
      </c>
      <c r="F90" t="s">
        <v>34</v>
      </c>
      <c r="G90">
        <v>11</v>
      </c>
      <c r="H90">
        <v>50</v>
      </c>
      <c r="I90" t="s">
        <v>230</v>
      </c>
      <c r="J90">
        <v>2</v>
      </c>
      <c r="K90" t="s">
        <v>2</v>
      </c>
      <c r="L90" t="s">
        <v>231</v>
      </c>
      <c r="M90" t="str">
        <f>IFERROR(IF(VALUE(tblRace2025[[#This Row],[Position]])=1,"Yes","No"),"No")</f>
        <v>No</v>
      </c>
      <c r="N90" t="str">
        <f>IFERROR(IF(VALUE(tblRace2025[[#This Row],[Position]])&lt;=3,"Yes","No"),"No")</f>
        <v>No</v>
      </c>
      <c r="O90">
        <f>IFERROR(VALUE(tblRace2025[[#This Row],[Starting Grid]])-VALUE(tblRace2025[[#This Row],[Position]]),0)</f>
        <v>2</v>
      </c>
      <c r="P90" t="str">
        <f>IFERROR(IF(AND(VALUE(tblRace2025[[#This Row],[Starting Grid]])=1,VALUE(tblRace2025[[#This Row],[Position]])=1),"Yes","No"),"No")</f>
        <v>No</v>
      </c>
      <c r="Q90" t="str">
        <f>IF(tblRace2025[[#This Row],[Points]]&gt;0,"Yes","No")</f>
        <v>Yes</v>
      </c>
      <c r="R90">
        <v>2025</v>
      </c>
    </row>
    <row r="91" spans="1:18" x14ac:dyDescent="0.45">
      <c r="A91" t="s">
        <v>213</v>
      </c>
      <c r="B91" t="s">
        <v>56</v>
      </c>
      <c r="C91">
        <f>IFERROR(VALUE(tblRace2025[[#This Row],[Position]]),"")</f>
        <v>10</v>
      </c>
      <c r="D91">
        <v>6</v>
      </c>
      <c r="E91" t="s">
        <v>90</v>
      </c>
      <c r="F91" t="s">
        <v>67</v>
      </c>
      <c r="G91">
        <v>14</v>
      </c>
      <c r="H91">
        <v>50</v>
      </c>
      <c r="I91" t="s">
        <v>232</v>
      </c>
      <c r="J91">
        <v>1</v>
      </c>
      <c r="K91" t="s">
        <v>2</v>
      </c>
      <c r="L91" t="s">
        <v>233</v>
      </c>
      <c r="M91" t="str">
        <f>IFERROR(IF(VALUE(tblRace2025[[#This Row],[Position]])=1,"Yes","No"),"No")</f>
        <v>No</v>
      </c>
      <c r="N91" t="str">
        <f>IFERROR(IF(VALUE(tblRace2025[[#This Row],[Position]])&lt;=3,"Yes","No"),"No")</f>
        <v>No</v>
      </c>
      <c r="O91">
        <f>IFERROR(VALUE(tblRace2025[[#This Row],[Starting Grid]])-VALUE(tblRace2025[[#This Row],[Position]]),0)</f>
        <v>4</v>
      </c>
      <c r="P91" t="str">
        <f>IFERROR(IF(AND(VALUE(tblRace2025[[#This Row],[Starting Grid]])=1,VALUE(tblRace2025[[#This Row],[Position]])=1),"Yes","No"),"No")</f>
        <v>No</v>
      </c>
      <c r="Q91" t="str">
        <f>IF(tblRace2025[[#This Row],[Points]]&gt;0,"Yes","No")</f>
        <v>Yes</v>
      </c>
      <c r="R91">
        <v>2025</v>
      </c>
    </row>
    <row r="92" spans="1:18" x14ac:dyDescent="0.45">
      <c r="A92" t="s">
        <v>213</v>
      </c>
      <c r="B92" t="s">
        <v>60</v>
      </c>
      <c r="C92">
        <f>IFERROR(VALUE(tblRace2025[[#This Row],[Position]]),"")</f>
        <v>11</v>
      </c>
      <c r="D92">
        <v>14</v>
      </c>
      <c r="E92" t="s">
        <v>85</v>
      </c>
      <c r="F92" t="s">
        <v>39</v>
      </c>
      <c r="G92">
        <v>13</v>
      </c>
      <c r="H92">
        <v>50</v>
      </c>
      <c r="I92" t="s">
        <v>234</v>
      </c>
      <c r="J92">
        <v>0</v>
      </c>
      <c r="K92" t="s">
        <v>2</v>
      </c>
      <c r="L92" t="s">
        <v>235</v>
      </c>
      <c r="M92" t="str">
        <f>IFERROR(IF(VALUE(tblRace2025[[#This Row],[Position]])=1,"Yes","No"),"No")</f>
        <v>No</v>
      </c>
      <c r="N92" t="str">
        <f>IFERROR(IF(VALUE(tblRace2025[[#This Row],[Position]])&lt;=3,"Yes","No"),"No")</f>
        <v>No</v>
      </c>
      <c r="O92">
        <f>IFERROR(VALUE(tblRace2025[[#This Row],[Starting Grid]])-VALUE(tblRace2025[[#This Row],[Position]]),0)</f>
        <v>2</v>
      </c>
      <c r="P92" t="str">
        <f>IFERROR(IF(AND(VALUE(tblRace2025[[#This Row],[Starting Grid]])=1,VALUE(tblRace2025[[#This Row],[Position]])=1),"Yes","No"),"No")</f>
        <v>No</v>
      </c>
      <c r="Q92" t="str">
        <f>IF(tblRace2025[[#This Row],[Points]]&gt;0,"Yes","No")</f>
        <v>No</v>
      </c>
      <c r="R92">
        <v>2025</v>
      </c>
    </row>
    <row r="93" spans="1:18" x14ac:dyDescent="0.45">
      <c r="A93" t="s">
        <v>213</v>
      </c>
      <c r="B93" t="s">
        <v>65</v>
      </c>
      <c r="C93">
        <f>IFERROR(VALUE(tblRace2025[[#This Row],[Position]]),"")</f>
        <v>12</v>
      </c>
      <c r="D93">
        <v>30</v>
      </c>
      <c r="E93" t="s">
        <v>80</v>
      </c>
      <c r="F93" t="s">
        <v>67</v>
      </c>
      <c r="G93">
        <v>12</v>
      </c>
      <c r="H93">
        <v>50</v>
      </c>
      <c r="I93" t="s">
        <v>236</v>
      </c>
      <c r="J93">
        <v>0</v>
      </c>
      <c r="K93" t="s">
        <v>2</v>
      </c>
      <c r="L93" t="s">
        <v>237</v>
      </c>
      <c r="M93" t="str">
        <f>IFERROR(IF(VALUE(tblRace2025[[#This Row],[Position]])=1,"Yes","No"),"No")</f>
        <v>No</v>
      </c>
      <c r="N93" t="str">
        <f>IFERROR(IF(VALUE(tblRace2025[[#This Row],[Position]])&lt;=3,"Yes","No"),"No")</f>
        <v>No</v>
      </c>
      <c r="O93">
        <f>IFERROR(VALUE(tblRace2025[[#This Row],[Starting Grid]])-VALUE(tblRace2025[[#This Row],[Position]]),0)</f>
        <v>0</v>
      </c>
      <c r="P93" t="str">
        <f>IFERROR(IF(AND(VALUE(tblRace2025[[#This Row],[Starting Grid]])=1,VALUE(tblRace2025[[#This Row],[Position]])=1),"Yes","No"),"No")</f>
        <v>No</v>
      </c>
      <c r="Q93" t="str">
        <f>IF(tblRace2025[[#This Row],[Points]]&gt;0,"Yes","No")</f>
        <v>No</v>
      </c>
      <c r="R93">
        <v>2025</v>
      </c>
    </row>
    <row r="94" spans="1:18" x14ac:dyDescent="0.45">
      <c r="A94" t="s">
        <v>213</v>
      </c>
      <c r="B94" t="s">
        <v>70</v>
      </c>
      <c r="C94">
        <f>IFERROR(VALUE(tblRace2025[[#This Row],[Position]]),"")</f>
        <v>13</v>
      </c>
      <c r="D94">
        <v>87</v>
      </c>
      <c r="E94" t="s">
        <v>76</v>
      </c>
      <c r="F94" t="s">
        <v>72</v>
      </c>
      <c r="G94">
        <v>15</v>
      </c>
      <c r="H94">
        <v>50</v>
      </c>
      <c r="I94" t="s">
        <v>238</v>
      </c>
      <c r="J94">
        <v>0</v>
      </c>
      <c r="K94" t="s">
        <v>2</v>
      </c>
      <c r="L94" t="s">
        <v>239</v>
      </c>
      <c r="M94" t="str">
        <f>IFERROR(IF(VALUE(tblRace2025[[#This Row],[Position]])=1,"Yes","No"),"No")</f>
        <v>No</v>
      </c>
      <c r="N94" t="str">
        <f>IFERROR(IF(VALUE(tblRace2025[[#This Row],[Position]])&lt;=3,"Yes","No"),"No")</f>
        <v>No</v>
      </c>
      <c r="O94">
        <f>IFERROR(VALUE(tblRace2025[[#This Row],[Starting Grid]])-VALUE(tblRace2025[[#This Row],[Position]]),0)</f>
        <v>2</v>
      </c>
      <c r="P94" t="str">
        <f>IFERROR(IF(AND(VALUE(tblRace2025[[#This Row],[Starting Grid]])=1,VALUE(tblRace2025[[#This Row],[Position]])=1),"Yes","No"),"No")</f>
        <v>No</v>
      </c>
      <c r="Q94" t="str">
        <f>IF(tblRace2025[[#This Row],[Points]]&gt;0,"Yes","No")</f>
        <v>No</v>
      </c>
      <c r="R94">
        <v>2025</v>
      </c>
    </row>
    <row r="95" spans="1:18" x14ac:dyDescent="0.45">
      <c r="A95" t="s">
        <v>213</v>
      </c>
      <c r="B95" t="s">
        <v>75</v>
      </c>
      <c r="C95">
        <f>IFERROR(VALUE(tblRace2025[[#This Row],[Position]]),"")</f>
        <v>14</v>
      </c>
      <c r="D95">
        <v>31</v>
      </c>
      <c r="E95" t="s">
        <v>71</v>
      </c>
      <c r="F95" t="s">
        <v>72</v>
      </c>
      <c r="G95">
        <v>19</v>
      </c>
      <c r="H95">
        <v>50</v>
      </c>
      <c r="I95" t="s">
        <v>240</v>
      </c>
      <c r="J95">
        <v>0</v>
      </c>
      <c r="K95" t="s">
        <v>2</v>
      </c>
      <c r="L95" t="s">
        <v>241</v>
      </c>
      <c r="M95" t="str">
        <f>IFERROR(IF(VALUE(tblRace2025[[#This Row],[Position]])=1,"Yes","No"),"No")</f>
        <v>No</v>
      </c>
      <c r="N95" t="str">
        <f>IFERROR(IF(VALUE(tblRace2025[[#This Row],[Position]])&lt;=3,"Yes","No"),"No")</f>
        <v>No</v>
      </c>
      <c r="O95">
        <f>IFERROR(VALUE(tblRace2025[[#This Row],[Starting Grid]])-VALUE(tblRace2025[[#This Row],[Position]]),0)</f>
        <v>5</v>
      </c>
      <c r="P95" t="str">
        <f>IFERROR(IF(AND(VALUE(tblRace2025[[#This Row],[Starting Grid]])=1,VALUE(tblRace2025[[#This Row],[Position]])=1),"Yes","No"),"No")</f>
        <v>No</v>
      </c>
      <c r="Q95" t="str">
        <f>IF(tblRace2025[[#This Row],[Points]]&gt;0,"Yes","No")</f>
        <v>No</v>
      </c>
      <c r="R95">
        <v>2025</v>
      </c>
    </row>
    <row r="96" spans="1:18" x14ac:dyDescent="0.45">
      <c r="A96" t="s">
        <v>213</v>
      </c>
      <c r="B96" t="s">
        <v>120</v>
      </c>
      <c r="C96">
        <f>IFERROR(VALUE(tblRace2025[[#This Row],[Position]]),"")</f>
        <v>15</v>
      </c>
      <c r="D96">
        <v>27</v>
      </c>
      <c r="E96" t="s">
        <v>43</v>
      </c>
      <c r="F96" t="s">
        <v>44</v>
      </c>
      <c r="G96">
        <v>18</v>
      </c>
      <c r="H96">
        <v>49</v>
      </c>
      <c r="I96" t="s">
        <v>118</v>
      </c>
      <c r="J96">
        <v>0</v>
      </c>
      <c r="K96" t="s">
        <v>2</v>
      </c>
      <c r="L96" t="s">
        <v>242</v>
      </c>
      <c r="M96" t="str">
        <f>IFERROR(IF(VALUE(tblRace2025[[#This Row],[Position]])=1,"Yes","No"),"No")</f>
        <v>No</v>
      </c>
      <c r="N96" t="str">
        <f>IFERROR(IF(VALUE(tblRace2025[[#This Row],[Position]])&lt;=3,"Yes","No"),"No")</f>
        <v>No</v>
      </c>
      <c r="O96">
        <f>IFERROR(VALUE(tblRace2025[[#This Row],[Starting Grid]])-VALUE(tblRace2025[[#This Row],[Position]]),0)</f>
        <v>3</v>
      </c>
      <c r="P96" t="str">
        <f>IFERROR(IF(AND(VALUE(tblRace2025[[#This Row],[Starting Grid]])=1,VALUE(tblRace2025[[#This Row],[Position]])=1),"Yes","No"),"No")</f>
        <v>No</v>
      </c>
      <c r="Q96" t="str">
        <f>IF(tblRace2025[[#This Row],[Points]]&gt;0,"Yes","No")</f>
        <v>No</v>
      </c>
      <c r="R96">
        <v>2025</v>
      </c>
    </row>
    <row r="97" spans="1:18" x14ac:dyDescent="0.45">
      <c r="A97" t="s">
        <v>213</v>
      </c>
      <c r="B97" t="s">
        <v>122</v>
      </c>
      <c r="C97">
        <f>IFERROR(VALUE(tblRace2025[[#This Row],[Position]]),"")</f>
        <v>16</v>
      </c>
      <c r="D97">
        <v>18</v>
      </c>
      <c r="E97" t="s">
        <v>38</v>
      </c>
      <c r="F97" t="s">
        <v>39</v>
      </c>
      <c r="G97">
        <v>16</v>
      </c>
      <c r="H97">
        <v>49</v>
      </c>
      <c r="I97" t="s">
        <v>118</v>
      </c>
      <c r="J97">
        <v>0</v>
      </c>
      <c r="K97" t="s">
        <v>2</v>
      </c>
      <c r="L97" t="s">
        <v>243</v>
      </c>
      <c r="M97" t="str">
        <f>IFERROR(IF(VALUE(tblRace2025[[#This Row],[Position]])=1,"Yes","No"),"No")</f>
        <v>No</v>
      </c>
      <c r="N97" t="str">
        <f>IFERROR(IF(VALUE(tblRace2025[[#This Row],[Position]])&lt;=3,"Yes","No"),"No")</f>
        <v>No</v>
      </c>
      <c r="O97">
        <f>IFERROR(VALUE(tblRace2025[[#This Row],[Starting Grid]])-VALUE(tblRace2025[[#This Row],[Position]]),0)</f>
        <v>0</v>
      </c>
      <c r="P97" t="str">
        <f>IFERROR(IF(AND(VALUE(tblRace2025[[#This Row],[Starting Grid]])=1,VALUE(tblRace2025[[#This Row],[Position]])=1),"Yes","No"),"No")</f>
        <v>No</v>
      </c>
      <c r="Q97" t="str">
        <f>IF(tblRace2025[[#This Row],[Points]]&gt;0,"Yes","No")</f>
        <v>No</v>
      </c>
      <c r="R97">
        <v>2025</v>
      </c>
    </row>
    <row r="98" spans="1:18" x14ac:dyDescent="0.45">
      <c r="A98" t="s">
        <v>213</v>
      </c>
      <c r="B98" t="s">
        <v>163</v>
      </c>
      <c r="C98">
        <f>IFERROR(VALUE(tblRace2025[[#This Row],[Position]]),"")</f>
        <v>17</v>
      </c>
      <c r="D98">
        <v>7</v>
      </c>
      <c r="E98" t="s">
        <v>89</v>
      </c>
      <c r="F98" t="s">
        <v>62</v>
      </c>
      <c r="G98">
        <v>17</v>
      </c>
      <c r="H98">
        <v>49</v>
      </c>
      <c r="I98" t="s">
        <v>118</v>
      </c>
      <c r="J98">
        <v>0</v>
      </c>
      <c r="K98" t="s">
        <v>2</v>
      </c>
      <c r="L98" t="s">
        <v>244</v>
      </c>
      <c r="M98" t="str">
        <f>IFERROR(IF(VALUE(tblRace2025[[#This Row],[Position]])=1,"Yes","No"),"No")</f>
        <v>No</v>
      </c>
      <c r="N98" t="str">
        <f>IFERROR(IF(VALUE(tblRace2025[[#This Row],[Position]])&lt;=3,"Yes","No"),"No")</f>
        <v>No</v>
      </c>
      <c r="O98">
        <f>IFERROR(VALUE(tblRace2025[[#This Row],[Starting Grid]])-VALUE(tblRace2025[[#This Row],[Position]]),0)</f>
        <v>0</v>
      </c>
      <c r="P98" t="str">
        <f>IFERROR(IF(AND(VALUE(tblRace2025[[#This Row],[Starting Grid]])=1,VALUE(tblRace2025[[#This Row],[Position]])=1),"Yes","No"),"No")</f>
        <v>No</v>
      </c>
      <c r="Q98" t="str">
        <f>IF(tblRace2025[[#This Row],[Points]]&gt;0,"Yes","No")</f>
        <v>No</v>
      </c>
      <c r="R98">
        <v>2025</v>
      </c>
    </row>
    <row r="99" spans="1:18" x14ac:dyDescent="0.45">
      <c r="A99" t="s">
        <v>213</v>
      </c>
      <c r="B99" t="s">
        <v>166</v>
      </c>
      <c r="C99">
        <f>IFERROR(VALUE(tblRace2025[[#This Row],[Position]]),"")</f>
        <v>18</v>
      </c>
      <c r="D99">
        <v>5</v>
      </c>
      <c r="E99" t="s">
        <v>83</v>
      </c>
      <c r="F99" t="s">
        <v>44</v>
      </c>
      <c r="G99">
        <v>20</v>
      </c>
      <c r="H99">
        <v>49</v>
      </c>
      <c r="I99" t="s">
        <v>118</v>
      </c>
      <c r="J99">
        <v>0</v>
      </c>
      <c r="K99" t="s">
        <v>2</v>
      </c>
      <c r="L99" t="s">
        <v>245</v>
      </c>
      <c r="M99" t="str">
        <f>IFERROR(IF(VALUE(tblRace2025[[#This Row],[Position]])=1,"Yes","No"),"No")</f>
        <v>No</v>
      </c>
      <c r="N99" t="str">
        <f>IFERROR(IF(VALUE(tblRace2025[[#This Row],[Position]])&lt;=3,"Yes","No"),"No")</f>
        <v>No</v>
      </c>
      <c r="O99">
        <f>IFERROR(VALUE(tblRace2025[[#This Row],[Starting Grid]])-VALUE(tblRace2025[[#This Row],[Position]]),0)</f>
        <v>2</v>
      </c>
      <c r="P99" t="str">
        <f>IFERROR(IF(AND(VALUE(tblRace2025[[#This Row],[Starting Grid]])=1,VALUE(tblRace2025[[#This Row],[Position]])=1),"Yes","No"),"No")</f>
        <v>No</v>
      </c>
      <c r="Q99" t="str">
        <f>IF(tblRace2025[[#This Row],[Points]]&gt;0,"Yes","No")</f>
        <v>No</v>
      </c>
      <c r="R99">
        <v>2025</v>
      </c>
    </row>
    <row r="100" spans="1:18" x14ac:dyDescent="0.45">
      <c r="A100" t="s">
        <v>213</v>
      </c>
      <c r="B100" t="s">
        <v>79</v>
      </c>
      <c r="C100" t="str">
        <f>IFERROR(VALUE(tblRace2025[[#This Row],[Position]]),"")</f>
        <v/>
      </c>
      <c r="D100">
        <v>22</v>
      </c>
      <c r="E100" t="s">
        <v>66</v>
      </c>
      <c r="F100" t="s">
        <v>20</v>
      </c>
      <c r="G100">
        <v>8</v>
      </c>
      <c r="H100">
        <v>1</v>
      </c>
      <c r="I100" t="s">
        <v>81</v>
      </c>
      <c r="J100">
        <v>0</v>
      </c>
      <c r="K100" t="s">
        <v>2</v>
      </c>
      <c r="L100" t="s">
        <v>88</v>
      </c>
      <c r="M100" t="str">
        <f>IFERROR(IF(VALUE(tblRace2025[[#This Row],[Position]])=1,"Yes","No"),"No")</f>
        <v>No</v>
      </c>
      <c r="N100" t="str">
        <f>IFERROR(IF(VALUE(tblRace2025[[#This Row],[Position]])&lt;=3,"Yes","No"),"No")</f>
        <v>No</v>
      </c>
      <c r="O100">
        <f>IFERROR(VALUE(tblRace2025[[#This Row],[Starting Grid]])-VALUE(tblRace2025[[#This Row],[Position]]),0)</f>
        <v>0</v>
      </c>
      <c r="P100" t="str">
        <f>IFERROR(IF(AND(VALUE(tblRace2025[[#This Row],[Starting Grid]])=1,VALUE(tblRace2025[[#This Row],[Position]])=1),"Yes","No"),"No")</f>
        <v>No</v>
      </c>
      <c r="Q100" t="str">
        <f>IF(tblRace2025[[#This Row],[Points]]&gt;0,"Yes","No")</f>
        <v>No</v>
      </c>
      <c r="R100">
        <v>2025</v>
      </c>
    </row>
    <row r="101" spans="1:18" x14ac:dyDescent="0.45">
      <c r="A101" t="s">
        <v>213</v>
      </c>
      <c r="B101" t="s">
        <v>79</v>
      </c>
      <c r="C101" t="str">
        <f>IFERROR(VALUE(tblRace2025[[#This Row],[Position]]),"")</f>
        <v/>
      </c>
      <c r="D101">
        <v>10</v>
      </c>
      <c r="E101" t="s">
        <v>61</v>
      </c>
      <c r="F101" t="s">
        <v>62</v>
      </c>
      <c r="G101">
        <v>9</v>
      </c>
      <c r="H101">
        <v>0</v>
      </c>
      <c r="I101" t="s">
        <v>81</v>
      </c>
      <c r="J101">
        <v>0</v>
      </c>
      <c r="K101" t="s">
        <v>2</v>
      </c>
      <c r="L101" t="s">
        <v>88</v>
      </c>
      <c r="M101" t="str">
        <f>IFERROR(IF(VALUE(tblRace2025[[#This Row],[Position]])=1,"Yes","No"),"No")</f>
        <v>No</v>
      </c>
      <c r="N101" t="str">
        <f>IFERROR(IF(VALUE(tblRace2025[[#This Row],[Position]])&lt;=3,"Yes","No"),"No")</f>
        <v>No</v>
      </c>
      <c r="O101">
        <f>IFERROR(VALUE(tblRace2025[[#This Row],[Starting Grid]])-VALUE(tblRace2025[[#This Row],[Position]]),0)</f>
        <v>0</v>
      </c>
      <c r="P101" t="str">
        <f>IFERROR(IF(AND(VALUE(tblRace2025[[#This Row],[Starting Grid]])=1,VALUE(tblRace2025[[#This Row],[Position]])=1),"Yes","No"),"No")</f>
        <v>No</v>
      </c>
      <c r="Q101" t="str">
        <f>IF(tblRace2025[[#This Row],[Points]]&gt;0,"Yes","No")</f>
        <v>No</v>
      </c>
      <c r="R101">
        <v>2025</v>
      </c>
    </row>
    <row r="102" spans="1:18" x14ac:dyDescent="0.45">
      <c r="A102" t="s">
        <v>246</v>
      </c>
      <c r="B102" t="s">
        <v>12</v>
      </c>
      <c r="C102">
        <f>IFERROR(VALUE(tblRace2025[[#This Row],[Position]]),"")</f>
        <v>1</v>
      </c>
      <c r="D102">
        <v>81</v>
      </c>
      <c r="E102" t="s">
        <v>53</v>
      </c>
      <c r="F102" t="s">
        <v>14</v>
      </c>
      <c r="G102">
        <v>4</v>
      </c>
      <c r="H102">
        <v>57</v>
      </c>
      <c r="I102" t="s">
        <v>247</v>
      </c>
      <c r="J102">
        <v>25</v>
      </c>
      <c r="K102" t="s">
        <v>2</v>
      </c>
      <c r="L102" t="s">
        <v>248</v>
      </c>
      <c r="M102" t="str">
        <f>IFERROR(IF(VALUE(tblRace2025[[#This Row],[Position]])=1,"Yes","No"),"No")</f>
        <v>Yes</v>
      </c>
      <c r="N102" t="str">
        <f>IFERROR(IF(VALUE(tblRace2025[[#This Row],[Position]])&lt;=3,"Yes","No"),"No")</f>
        <v>Yes</v>
      </c>
      <c r="O102">
        <f>IFERROR(VALUE(tblRace2025[[#This Row],[Starting Grid]])-VALUE(tblRace2025[[#This Row],[Position]]),0)</f>
        <v>3</v>
      </c>
      <c r="P102" t="str">
        <f>IFERROR(IF(AND(VALUE(tblRace2025[[#This Row],[Starting Grid]])=1,VALUE(tblRace2025[[#This Row],[Position]])=1),"Yes","No"),"No")</f>
        <v>No</v>
      </c>
      <c r="Q102" t="str">
        <f>IF(tblRace2025[[#This Row],[Points]]&gt;0,"Yes","No")</f>
        <v>Yes</v>
      </c>
      <c r="R102">
        <v>2025</v>
      </c>
    </row>
    <row r="103" spans="1:18" x14ac:dyDescent="0.45">
      <c r="A103" t="s">
        <v>246</v>
      </c>
      <c r="B103" t="s">
        <v>18</v>
      </c>
      <c r="C103">
        <f>IFERROR(VALUE(tblRace2025[[#This Row],[Position]]),"")</f>
        <v>2</v>
      </c>
      <c r="D103">
        <v>4</v>
      </c>
      <c r="E103" t="s">
        <v>13</v>
      </c>
      <c r="F103" t="s">
        <v>14</v>
      </c>
      <c r="G103">
        <v>2</v>
      </c>
      <c r="H103">
        <v>57</v>
      </c>
      <c r="I103" t="s">
        <v>249</v>
      </c>
      <c r="J103">
        <v>18</v>
      </c>
      <c r="K103" t="s">
        <v>16</v>
      </c>
      <c r="L103" t="s">
        <v>250</v>
      </c>
      <c r="M103" t="str">
        <f>IFERROR(IF(VALUE(tblRace2025[[#This Row],[Position]])=1,"Yes","No"),"No")</f>
        <v>No</v>
      </c>
      <c r="N103" t="str">
        <f>IFERROR(IF(VALUE(tblRace2025[[#This Row],[Position]])&lt;=3,"Yes","No"),"No")</f>
        <v>Yes</v>
      </c>
      <c r="O103">
        <f>IFERROR(VALUE(tblRace2025[[#This Row],[Starting Grid]])-VALUE(tblRace2025[[#This Row],[Position]]),0)</f>
        <v>0</v>
      </c>
      <c r="P103" t="str">
        <f>IFERROR(IF(AND(VALUE(tblRace2025[[#This Row],[Starting Grid]])=1,VALUE(tblRace2025[[#This Row],[Position]])=1),"Yes","No"),"No")</f>
        <v>No</v>
      </c>
      <c r="Q103" t="str">
        <f>IF(tblRace2025[[#This Row],[Points]]&gt;0,"Yes","No")</f>
        <v>Yes</v>
      </c>
      <c r="R103">
        <v>2025</v>
      </c>
    </row>
    <row r="104" spans="1:18" x14ac:dyDescent="0.45">
      <c r="A104" t="s">
        <v>246</v>
      </c>
      <c r="B104" t="s">
        <v>23</v>
      </c>
      <c r="C104">
        <f>IFERROR(VALUE(tblRace2025[[#This Row],[Position]]),"")</f>
        <v>3</v>
      </c>
      <c r="D104">
        <v>63</v>
      </c>
      <c r="E104" t="s">
        <v>24</v>
      </c>
      <c r="F104" t="s">
        <v>25</v>
      </c>
      <c r="G104">
        <v>5</v>
      </c>
      <c r="H104">
        <v>57</v>
      </c>
      <c r="I104" t="s">
        <v>251</v>
      </c>
      <c r="J104">
        <v>15</v>
      </c>
      <c r="K104" t="s">
        <v>2</v>
      </c>
      <c r="L104" t="s">
        <v>252</v>
      </c>
      <c r="M104" t="str">
        <f>IFERROR(IF(VALUE(tblRace2025[[#This Row],[Position]])=1,"Yes","No"),"No")</f>
        <v>No</v>
      </c>
      <c r="N104" t="str">
        <f>IFERROR(IF(VALUE(tblRace2025[[#This Row],[Position]])&lt;=3,"Yes","No"),"No")</f>
        <v>Yes</v>
      </c>
      <c r="O104">
        <f>IFERROR(VALUE(tblRace2025[[#This Row],[Starting Grid]])-VALUE(tblRace2025[[#This Row],[Position]]),0)</f>
        <v>2</v>
      </c>
      <c r="P104" t="str">
        <f>IFERROR(IF(AND(VALUE(tblRace2025[[#This Row],[Starting Grid]])=1,VALUE(tblRace2025[[#This Row],[Position]])=1),"Yes","No"),"No")</f>
        <v>No</v>
      </c>
      <c r="Q104" t="str">
        <f>IF(tblRace2025[[#This Row],[Points]]&gt;0,"Yes","No")</f>
        <v>Yes</v>
      </c>
      <c r="R104">
        <v>2025</v>
      </c>
    </row>
    <row r="105" spans="1:18" x14ac:dyDescent="0.45">
      <c r="A105" t="s">
        <v>246</v>
      </c>
      <c r="B105" t="s">
        <v>28</v>
      </c>
      <c r="C105">
        <f>IFERROR(VALUE(tblRace2025[[#This Row],[Position]]),"")</f>
        <v>4</v>
      </c>
      <c r="D105">
        <v>1</v>
      </c>
      <c r="E105" t="s">
        <v>19</v>
      </c>
      <c r="F105" t="s">
        <v>20</v>
      </c>
      <c r="G105">
        <v>1</v>
      </c>
      <c r="H105">
        <v>57</v>
      </c>
      <c r="I105" t="s">
        <v>253</v>
      </c>
      <c r="J105">
        <v>12</v>
      </c>
      <c r="K105" t="s">
        <v>2</v>
      </c>
      <c r="L105" t="s">
        <v>254</v>
      </c>
      <c r="M105" t="str">
        <f>IFERROR(IF(VALUE(tblRace2025[[#This Row],[Position]])=1,"Yes","No"),"No")</f>
        <v>No</v>
      </c>
      <c r="N105" t="str">
        <f>IFERROR(IF(VALUE(tblRace2025[[#This Row],[Position]])&lt;=3,"Yes","No"),"No")</f>
        <v>No</v>
      </c>
      <c r="O105">
        <f>IFERROR(VALUE(tblRace2025[[#This Row],[Starting Grid]])-VALUE(tblRace2025[[#This Row],[Position]]),0)</f>
        <v>-3</v>
      </c>
      <c r="P105" t="str">
        <f>IFERROR(IF(AND(VALUE(tblRace2025[[#This Row],[Starting Grid]])=1,VALUE(tblRace2025[[#This Row],[Position]])=1),"Yes","No"),"No")</f>
        <v>No</v>
      </c>
      <c r="Q105" t="str">
        <f>IF(tblRace2025[[#This Row],[Points]]&gt;0,"Yes","No")</f>
        <v>Yes</v>
      </c>
      <c r="R105">
        <v>2025</v>
      </c>
    </row>
    <row r="106" spans="1:18" x14ac:dyDescent="0.45">
      <c r="A106" t="s">
        <v>246</v>
      </c>
      <c r="B106" t="s">
        <v>32</v>
      </c>
      <c r="C106">
        <f>IFERROR(VALUE(tblRace2025[[#This Row],[Position]]),"")</f>
        <v>5</v>
      </c>
      <c r="D106">
        <v>23</v>
      </c>
      <c r="E106" t="s">
        <v>33</v>
      </c>
      <c r="F106" t="s">
        <v>34</v>
      </c>
      <c r="G106">
        <v>7</v>
      </c>
      <c r="H106">
        <v>57</v>
      </c>
      <c r="I106" t="s">
        <v>255</v>
      </c>
      <c r="J106">
        <v>10</v>
      </c>
      <c r="K106" t="s">
        <v>2</v>
      </c>
      <c r="L106" t="s">
        <v>256</v>
      </c>
      <c r="M106" t="str">
        <f>IFERROR(IF(VALUE(tblRace2025[[#This Row],[Position]])=1,"Yes","No"),"No")</f>
        <v>No</v>
      </c>
      <c r="N106" t="str">
        <f>IFERROR(IF(VALUE(tblRace2025[[#This Row],[Position]])&lt;=3,"Yes","No"),"No")</f>
        <v>No</v>
      </c>
      <c r="O106">
        <f>IFERROR(VALUE(tblRace2025[[#This Row],[Starting Grid]])-VALUE(tblRace2025[[#This Row],[Position]]),0)</f>
        <v>2</v>
      </c>
      <c r="P106" t="str">
        <f>IFERROR(IF(AND(VALUE(tblRace2025[[#This Row],[Starting Grid]])=1,VALUE(tblRace2025[[#This Row],[Position]])=1),"Yes","No"),"No")</f>
        <v>No</v>
      </c>
      <c r="Q106" t="str">
        <f>IF(tblRace2025[[#This Row],[Points]]&gt;0,"Yes","No")</f>
        <v>Yes</v>
      </c>
      <c r="R106">
        <v>2025</v>
      </c>
    </row>
    <row r="107" spans="1:18" x14ac:dyDescent="0.45">
      <c r="A107" t="s">
        <v>246</v>
      </c>
      <c r="B107" t="s">
        <v>37</v>
      </c>
      <c r="C107">
        <f>IFERROR(VALUE(tblRace2025[[#This Row],[Position]]),"")</f>
        <v>6</v>
      </c>
      <c r="D107">
        <v>12</v>
      </c>
      <c r="E107" t="s">
        <v>29</v>
      </c>
      <c r="F107" t="s">
        <v>25</v>
      </c>
      <c r="G107">
        <v>3</v>
      </c>
      <c r="H107">
        <v>57</v>
      </c>
      <c r="I107" t="s">
        <v>257</v>
      </c>
      <c r="J107">
        <v>8</v>
      </c>
      <c r="K107" t="s">
        <v>2</v>
      </c>
      <c r="L107" t="s">
        <v>258</v>
      </c>
      <c r="M107" t="str">
        <f>IFERROR(IF(VALUE(tblRace2025[[#This Row],[Position]])=1,"Yes","No"),"No")</f>
        <v>No</v>
      </c>
      <c r="N107" t="str">
        <f>IFERROR(IF(VALUE(tblRace2025[[#This Row],[Position]])&lt;=3,"Yes","No"),"No")</f>
        <v>No</v>
      </c>
      <c r="O107">
        <f>IFERROR(VALUE(tblRace2025[[#This Row],[Starting Grid]])-VALUE(tblRace2025[[#This Row],[Position]]),0)</f>
        <v>-3</v>
      </c>
      <c r="P107" t="str">
        <f>IFERROR(IF(AND(VALUE(tblRace2025[[#This Row],[Starting Grid]])=1,VALUE(tblRace2025[[#This Row],[Position]])=1),"Yes","No"),"No")</f>
        <v>No</v>
      </c>
      <c r="Q107" t="str">
        <f>IF(tblRace2025[[#This Row],[Points]]&gt;0,"Yes","No")</f>
        <v>Yes</v>
      </c>
      <c r="R107">
        <v>2025</v>
      </c>
    </row>
    <row r="108" spans="1:18" x14ac:dyDescent="0.45">
      <c r="A108" t="s">
        <v>246</v>
      </c>
      <c r="B108" t="s">
        <v>42</v>
      </c>
      <c r="C108">
        <f>IFERROR(VALUE(tblRace2025[[#This Row],[Position]]),"")</f>
        <v>7</v>
      </c>
      <c r="D108">
        <v>16</v>
      </c>
      <c r="E108" t="s">
        <v>48</v>
      </c>
      <c r="F108" t="s">
        <v>49</v>
      </c>
      <c r="G108">
        <v>8</v>
      </c>
      <c r="H108">
        <v>57</v>
      </c>
      <c r="I108" t="s">
        <v>259</v>
      </c>
      <c r="J108">
        <v>6</v>
      </c>
      <c r="K108" t="s">
        <v>2</v>
      </c>
      <c r="L108" t="s">
        <v>260</v>
      </c>
      <c r="M108" t="str">
        <f>IFERROR(IF(VALUE(tblRace2025[[#This Row],[Position]])=1,"Yes","No"),"No")</f>
        <v>No</v>
      </c>
      <c r="N108" t="str">
        <f>IFERROR(IF(VALUE(tblRace2025[[#This Row],[Position]])&lt;=3,"Yes","No"),"No")</f>
        <v>No</v>
      </c>
      <c r="O108">
        <f>IFERROR(VALUE(tblRace2025[[#This Row],[Starting Grid]])-VALUE(tblRace2025[[#This Row],[Position]]),0)</f>
        <v>1</v>
      </c>
      <c r="P108" t="str">
        <f>IFERROR(IF(AND(VALUE(tblRace2025[[#This Row],[Starting Grid]])=1,VALUE(tblRace2025[[#This Row],[Position]])=1),"Yes","No"),"No")</f>
        <v>No</v>
      </c>
      <c r="Q108" t="str">
        <f>IF(tblRace2025[[#This Row],[Points]]&gt;0,"Yes","No")</f>
        <v>Yes</v>
      </c>
      <c r="R108">
        <v>2025</v>
      </c>
    </row>
    <row r="109" spans="1:18" x14ac:dyDescent="0.45">
      <c r="A109" t="s">
        <v>246</v>
      </c>
      <c r="B109" t="s">
        <v>47</v>
      </c>
      <c r="C109">
        <f>IFERROR(VALUE(tblRace2025[[#This Row],[Position]]),"")</f>
        <v>8</v>
      </c>
      <c r="D109">
        <v>44</v>
      </c>
      <c r="E109" t="s">
        <v>57</v>
      </c>
      <c r="F109" t="s">
        <v>49</v>
      </c>
      <c r="G109">
        <v>12</v>
      </c>
      <c r="H109">
        <v>57</v>
      </c>
      <c r="I109" t="s">
        <v>261</v>
      </c>
      <c r="J109">
        <v>4</v>
      </c>
      <c r="K109" t="s">
        <v>2</v>
      </c>
      <c r="L109" t="s">
        <v>262</v>
      </c>
      <c r="M109" t="str">
        <f>IFERROR(IF(VALUE(tblRace2025[[#This Row],[Position]])=1,"Yes","No"),"No")</f>
        <v>No</v>
      </c>
      <c r="N109" t="str">
        <f>IFERROR(IF(VALUE(tblRace2025[[#This Row],[Position]])&lt;=3,"Yes","No"),"No")</f>
        <v>No</v>
      </c>
      <c r="O109">
        <f>IFERROR(VALUE(tblRace2025[[#This Row],[Starting Grid]])-VALUE(tblRace2025[[#This Row],[Position]]),0)</f>
        <v>4</v>
      </c>
      <c r="P109" t="str">
        <f>IFERROR(IF(AND(VALUE(tblRace2025[[#This Row],[Starting Grid]])=1,VALUE(tblRace2025[[#This Row],[Position]])=1),"Yes","No"),"No")</f>
        <v>No</v>
      </c>
      <c r="Q109" t="str">
        <f>IF(tblRace2025[[#This Row],[Points]]&gt;0,"Yes","No")</f>
        <v>Yes</v>
      </c>
      <c r="R109">
        <v>2025</v>
      </c>
    </row>
    <row r="110" spans="1:18" x14ac:dyDescent="0.45">
      <c r="A110" t="s">
        <v>246</v>
      </c>
      <c r="B110" t="s">
        <v>52</v>
      </c>
      <c r="C110">
        <f>IFERROR(VALUE(tblRace2025[[#This Row],[Position]]),"")</f>
        <v>9</v>
      </c>
      <c r="D110">
        <v>55</v>
      </c>
      <c r="E110" t="s">
        <v>87</v>
      </c>
      <c r="F110" t="s">
        <v>34</v>
      </c>
      <c r="G110">
        <v>6</v>
      </c>
      <c r="H110">
        <v>57</v>
      </c>
      <c r="I110" t="s">
        <v>263</v>
      </c>
      <c r="J110">
        <v>2</v>
      </c>
      <c r="K110" t="s">
        <v>2</v>
      </c>
      <c r="L110" t="s">
        <v>264</v>
      </c>
      <c r="M110" t="str">
        <f>IFERROR(IF(VALUE(tblRace2025[[#This Row],[Position]])=1,"Yes","No"),"No")</f>
        <v>No</v>
      </c>
      <c r="N110" t="str">
        <f>IFERROR(IF(VALUE(tblRace2025[[#This Row],[Position]])&lt;=3,"Yes","No"),"No")</f>
        <v>No</v>
      </c>
      <c r="O110">
        <f>IFERROR(VALUE(tblRace2025[[#This Row],[Starting Grid]])-VALUE(tblRace2025[[#This Row],[Position]]),0)</f>
        <v>-3</v>
      </c>
      <c r="P110" t="str">
        <f>IFERROR(IF(AND(VALUE(tblRace2025[[#This Row],[Starting Grid]])=1,VALUE(tblRace2025[[#This Row],[Position]])=1),"Yes","No"),"No")</f>
        <v>No</v>
      </c>
      <c r="Q110" t="str">
        <f>IF(tblRace2025[[#This Row],[Points]]&gt;0,"Yes","No")</f>
        <v>Yes</v>
      </c>
      <c r="R110">
        <v>2025</v>
      </c>
    </row>
    <row r="111" spans="1:18" x14ac:dyDescent="0.45">
      <c r="A111" t="s">
        <v>246</v>
      </c>
      <c r="B111" t="s">
        <v>56</v>
      </c>
      <c r="C111">
        <f>IFERROR(VALUE(tblRace2025[[#This Row],[Position]]),"")</f>
        <v>10</v>
      </c>
      <c r="D111">
        <v>22</v>
      </c>
      <c r="E111" t="s">
        <v>66</v>
      </c>
      <c r="F111" t="s">
        <v>20</v>
      </c>
      <c r="G111">
        <v>10</v>
      </c>
      <c r="H111">
        <v>57</v>
      </c>
      <c r="I111" t="s">
        <v>265</v>
      </c>
      <c r="J111">
        <v>1</v>
      </c>
      <c r="K111" t="s">
        <v>2</v>
      </c>
      <c r="L111" t="s">
        <v>266</v>
      </c>
      <c r="M111" t="str">
        <f>IFERROR(IF(VALUE(tblRace2025[[#This Row],[Position]])=1,"Yes","No"),"No")</f>
        <v>No</v>
      </c>
      <c r="N111" t="str">
        <f>IFERROR(IF(VALUE(tblRace2025[[#This Row],[Position]])&lt;=3,"Yes","No"),"No")</f>
        <v>No</v>
      </c>
      <c r="O111">
        <f>IFERROR(VALUE(tblRace2025[[#This Row],[Starting Grid]])-VALUE(tblRace2025[[#This Row],[Position]]),0)</f>
        <v>0</v>
      </c>
      <c r="P111" t="str">
        <f>IFERROR(IF(AND(VALUE(tblRace2025[[#This Row],[Starting Grid]])=1,VALUE(tblRace2025[[#This Row],[Position]])=1),"Yes","No"),"No")</f>
        <v>No</v>
      </c>
      <c r="Q111" t="str">
        <f>IF(tblRace2025[[#This Row],[Points]]&gt;0,"Yes","No")</f>
        <v>Yes</v>
      </c>
      <c r="R111">
        <v>2025</v>
      </c>
    </row>
    <row r="112" spans="1:18" x14ac:dyDescent="0.45">
      <c r="A112" t="s">
        <v>246</v>
      </c>
      <c r="B112" t="s">
        <v>60</v>
      </c>
      <c r="C112">
        <f>IFERROR(VALUE(tblRace2025[[#This Row],[Position]]),"")</f>
        <v>11</v>
      </c>
      <c r="D112">
        <v>6</v>
      </c>
      <c r="E112" t="s">
        <v>90</v>
      </c>
      <c r="F112" t="s">
        <v>67</v>
      </c>
      <c r="G112">
        <v>11</v>
      </c>
      <c r="H112">
        <v>57</v>
      </c>
      <c r="I112" t="s">
        <v>267</v>
      </c>
      <c r="J112">
        <v>0</v>
      </c>
      <c r="K112" t="s">
        <v>2</v>
      </c>
      <c r="L112" t="s">
        <v>268</v>
      </c>
      <c r="M112" t="str">
        <f>IFERROR(IF(VALUE(tblRace2025[[#This Row],[Position]])=1,"Yes","No"),"No")</f>
        <v>No</v>
      </c>
      <c r="N112" t="str">
        <f>IFERROR(IF(VALUE(tblRace2025[[#This Row],[Position]])&lt;=3,"Yes","No"),"No")</f>
        <v>No</v>
      </c>
      <c r="O112">
        <f>IFERROR(VALUE(tblRace2025[[#This Row],[Starting Grid]])-VALUE(tblRace2025[[#This Row],[Position]]),0)</f>
        <v>0</v>
      </c>
      <c r="P112" t="str">
        <f>IFERROR(IF(AND(VALUE(tblRace2025[[#This Row],[Starting Grid]])=1,VALUE(tblRace2025[[#This Row],[Position]])=1),"Yes","No"),"No")</f>
        <v>No</v>
      </c>
      <c r="Q112" t="str">
        <f>IF(tblRace2025[[#This Row],[Points]]&gt;0,"Yes","No")</f>
        <v>No</v>
      </c>
      <c r="R112">
        <v>2025</v>
      </c>
    </row>
    <row r="113" spans="1:18" x14ac:dyDescent="0.45">
      <c r="A113" t="s">
        <v>246</v>
      </c>
      <c r="B113" t="s">
        <v>65</v>
      </c>
      <c r="C113">
        <f>IFERROR(VALUE(tblRace2025[[#This Row],[Position]]),"")</f>
        <v>12</v>
      </c>
      <c r="D113">
        <v>31</v>
      </c>
      <c r="E113" t="s">
        <v>71</v>
      </c>
      <c r="F113" t="s">
        <v>72</v>
      </c>
      <c r="G113">
        <v>9</v>
      </c>
      <c r="H113">
        <v>57</v>
      </c>
      <c r="I113" t="s">
        <v>269</v>
      </c>
      <c r="J113">
        <v>0</v>
      </c>
      <c r="K113" t="s">
        <v>2</v>
      </c>
      <c r="L113" t="s">
        <v>270</v>
      </c>
      <c r="M113" t="str">
        <f>IFERROR(IF(VALUE(tblRace2025[[#This Row],[Position]])=1,"Yes","No"),"No")</f>
        <v>No</v>
      </c>
      <c r="N113" t="str">
        <f>IFERROR(IF(VALUE(tblRace2025[[#This Row],[Position]])&lt;=3,"Yes","No"),"No")</f>
        <v>No</v>
      </c>
      <c r="O113">
        <f>IFERROR(VALUE(tblRace2025[[#This Row],[Starting Grid]])-VALUE(tblRace2025[[#This Row],[Position]]),0)</f>
        <v>-3</v>
      </c>
      <c r="P113" t="str">
        <f>IFERROR(IF(AND(VALUE(tblRace2025[[#This Row],[Starting Grid]])=1,VALUE(tblRace2025[[#This Row],[Position]])=1),"Yes","No"),"No")</f>
        <v>No</v>
      </c>
      <c r="Q113" t="str">
        <f>IF(tblRace2025[[#This Row],[Points]]&gt;0,"Yes","No")</f>
        <v>No</v>
      </c>
      <c r="R113">
        <v>2025</v>
      </c>
    </row>
    <row r="114" spans="1:18" x14ac:dyDescent="0.45">
      <c r="A114" t="s">
        <v>246</v>
      </c>
      <c r="B114" t="s">
        <v>70</v>
      </c>
      <c r="C114">
        <f>IFERROR(VALUE(tblRace2025[[#This Row],[Position]]),"")</f>
        <v>13</v>
      </c>
      <c r="D114">
        <v>10</v>
      </c>
      <c r="E114" t="s">
        <v>61</v>
      </c>
      <c r="F114" t="s">
        <v>62</v>
      </c>
      <c r="G114">
        <v>20</v>
      </c>
      <c r="H114">
        <v>57</v>
      </c>
      <c r="I114" t="s">
        <v>271</v>
      </c>
      <c r="J114">
        <v>0</v>
      </c>
      <c r="K114" t="s">
        <v>2</v>
      </c>
      <c r="L114" t="s">
        <v>272</v>
      </c>
      <c r="M114" t="str">
        <f>IFERROR(IF(VALUE(tblRace2025[[#This Row],[Position]])=1,"Yes","No"),"No")</f>
        <v>No</v>
      </c>
      <c r="N114" t="str">
        <f>IFERROR(IF(VALUE(tblRace2025[[#This Row],[Position]])&lt;=3,"Yes","No"),"No")</f>
        <v>No</v>
      </c>
      <c r="O114">
        <f>IFERROR(VALUE(tblRace2025[[#This Row],[Starting Grid]])-VALUE(tblRace2025[[#This Row],[Position]]),0)</f>
        <v>7</v>
      </c>
      <c r="P114" t="str">
        <f>IFERROR(IF(AND(VALUE(tblRace2025[[#This Row],[Starting Grid]])=1,VALUE(tblRace2025[[#This Row],[Position]])=1),"Yes","No"),"No")</f>
        <v>No</v>
      </c>
      <c r="Q114" t="str">
        <f>IF(tblRace2025[[#This Row],[Points]]&gt;0,"Yes","No")</f>
        <v>No</v>
      </c>
      <c r="R114">
        <v>2025</v>
      </c>
    </row>
    <row r="115" spans="1:18" x14ac:dyDescent="0.45">
      <c r="A115" t="s">
        <v>246</v>
      </c>
      <c r="B115" t="s">
        <v>75</v>
      </c>
      <c r="C115">
        <f>IFERROR(VALUE(tblRace2025[[#This Row],[Position]]),"")</f>
        <v>14</v>
      </c>
      <c r="D115">
        <v>27</v>
      </c>
      <c r="E115" t="s">
        <v>43</v>
      </c>
      <c r="F115" t="s">
        <v>44</v>
      </c>
      <c r="G115">
        <v>16</v>
      </c>
      <c r="H115">
        <v>56</v>
      </c>
      <c r="I115" t="s">
        <v>118</v>
      </c>
      <c r="J115">
        <v>0</v>
      </c>
      <c r="K115" t="s">
        <v>2</v>
      </c>
      <c r="L115" t="s">
        <v>273</v>
      </c>
      <c r="M115" t="str">
        <f>IFERROR(IF(VALUE(tblRace2025[[#This Row],[Position]])=1,"Yes","No"),"No")</f>
        <v>No</v>
      </c>
      <c r="N115" t="str">
        <f>IFERROR(IF(VALUE(tblRace2025[[#This Row],[Position]])&lt;=3,"Yes","No"),"No")</f>
        <v>No</v>
      </c>
      <c r="O115">
        <f>IFERROR(VALUE(tblRace2025[[#This Row],[Starting Grid]])-VALUE(tblRace2025[[#This Row],[Position]]),0)</f>
        <v>2</v>
      </c>
      <c r="P115" t="str">
        <f>IFERROR(IF(AND(VALUE(tblRace2025[[#This Row],[Starting Grid]])=1,VALUE(tblRace2025[[#This Row],[Position]])=1),"Yes","No"),"No")</f>
        <v>No</v>
      </c>
      <c r="Q115" t="str">
        <f>IF(tblRace2025[[#This Row],[Points]]&gt;0,"Yes","No")</f>
        <v>No</v>
      </c>
      <c r="R115">
        <v>2025</v>
      </c>
    </row>
    <row r="116" spans="1:18" x14ac:dyDescent="0.45">
      <c r="A116" t="s">
        <v>246</v>
      </c>
      <c r="B116" t="s">
        <v>120</v>
      </c>
      <c r="C116">
        <f>IFERROR(VALUE(tblRace2025[[#This Row],[Position]]),"")</f>
        <v>15</v>
      </c>
      <c r="D116">
        <v>14</v>
      </c>
      <c r="E116" t="s">
        <v>85</v>
      </c>
      <c r="F116" t="s">
        <v>39</v>
      </c>
      <c r="G116">
        <v>17</v>
      </c>
      <c r="H116">
        <v>56</v>
      </c>
      <c r="I116" t="s">
        <v>118</v>
      </c>
      <c r="J116">
        <v>0</v>
      </c>
      <c r="K116" t="s">
        <v>2</v>
      </c>
      <c r="L116" t="s">
        <v>274</v>
      </c>
      <c r="M116" t="str">
        <f>IFERROR(IF(VALUE(tblRace2025[[#This Row],[Position]])=1,"Yes","No"),"No")</f>
        <v>No</v>
      </c>
      <c r="N116" t="str">
        <f>IFERROR(IF(VALUE(tblRace2025[[#This Row],[Position]])&lt;=3,"Yes","No"),"No")</f>
        <v>No</v>
      </c>
      <c r="O116">
        <f>IFERROR(VALUE(tblRace2025[[#This Row],[Starting Grid]])-VALUE(tblRace2025[[#This Row],[Position]]),0)</f>
        <v>2</v>
      </c>
      <c r="P116" t="str">
        <f>IFERROR(IF(AND(VALUE(tblRace2025[[#This Row],[Starting Grid]])=1,VALUE(tblRace2025[[#This Row],[Position]])=1),"Yes","No"),"No")</f>
        <v>No</v>
      </c>
      <c r="Q116" t="str">
        <f>IF(tblRace2025[[#This Row],[Points]]&gt;0,"Yes","No")</f>
        <v>No</v>
      </c>
      <c r="R116">
        <v>2025</v>
      </c>
    </row>
    <row r="117" spans="1:18" x14ac:dyDescent="0.45">
      <c r="A117" t="s">
        <v>246</v>
      </c>
      <c r="B117" t="s">
        <v>122</v>
      </c>
      <c r="C117">
        <f>IFERROR(VALUE(tblRace2025[[#This Row],[Position]]),"")</f>
        <v>16</v>
      </c>
      <c r="D117">
        <v>18</v>
      </c>
      <c r="E117" t="s">
        <v>38</v>
      </c>
      <c r="F117" t="s">
        <v>39</v>
      </c>
      <c r="G117">
        <v>18</v>
      </c>
      <c r="H117">
        <v>56</v>
      </c>
      <c r="I117" t="s">
        <v>118</v>
      </c>
      <c r="J117">
        <v>0</v>
      </c>
      <c r="K117" t="s">
        <v>2</v>
      </c>
      <c r="L117" t="s">
        <v>275</v>
      </c>
      <c r="M117" t="str">
        <f>IFERROR(IF(VALUE(tblRace2025[[#This Row],[Position]])=1,"Yes","No"),"No")</f>
        <v>No</v>
      </c>
      <c r="N117" t="str">
        <f>IFERROR(IF(VALUE(tblRace2025[[#This Row],[Position]])&lt;=3,"Yes","No"),"No")</f>
        <v>No</v>
      </c>
      <c r="O117">
        <f>IFERROR(VALUE(tblRace2025[[#This Row],[Starting Grid]])-VALUE(tblRace2025[[#This Row],[Position]]),0)</f>
        <v>2</v>
      </c>
      <c r="P117" t="str">
        <f>IFERROR(IF(AND(VALUE(tblRace2025[[#This Row],[Starting Grid]])=1,VALUE(tblRace2025[[#This Row],[Position]])=1),"Yes","No"),"No")</f>
        <v>No</v>
      </c>
      <c r="Q117" t="str">
        <f>IF(tblRace2025[[#This Row],[Points]]&gt;0,"Yes","No")</f>
        <v>No</v>
      </c>
      <c r="R117">
        <v>2025</v>
      </c>
    </row>
    <row r="118" spans="1:18" x14ac:dyDescent="0.45">
      <c r="A118" t="s">
        <v>246</v>
      </c>
      <c r="B118" t="s">
        <v>79</v>
      </c>
      <c r="C118" t="str">
        <f>IFERROR(VALUE(tblRace2025[[#This Row],[Position]]),"")</f>
        <v/>
      </c>
      <c r="D118">
        <v>30</v>
      </c>
      <c r="E118" t="s">
        <v>80</v>
      </c>
      <c r="F118" t="s">
        <v>67</v>
      </c>
      <c r="G118">
        <v>15</v>
      </c>
      <c r="H118">
        <v>36</v>
      </c>
      <c r="I118" t="s">
        <v>81</v>
      </c>
      <c r="J118">
        <v>0</v>
      </c>
      <c r="K118" t="s">
        <v>2</v>
      </c>
      <c r="L118" t="s">
        <v>152</v>
      </c>
      <c r="M118" t="str">
        <f>IFERROR(IF(VALUE(tblRace2025[[#This Row],[Position]])=1,"Yes","No"),"No")</f>
        <v>No</v>
      </c>
      <c r="N118" t="str">
        <f>IFERROR(IF(VALUE(tblRace2025[[#This Row],[Position]])&lt;=3,"Yes","No"),"No")</f>
        <v>No</v>
      </c>
      <c r="O118">
        <f>IFERROR(VALUE(tblRace2025[[#This Row],[Starting Grid]])-VALUE(tblRace2025[[#This Row],[Position]]),0)</f>
        <v>0</v>
      </c>
      <c r="P118" t="str">
        <f>IFERROR(IF(AND(VALUE(tblRace2025[[#This Row],[Starting Grid]])=1,VALUE(tblRace2025[[#This Row],[Position]])=1),"Yes","No"),"No")</f>
        <v>No</v>
      </c>
      <c r="Q118" t="str">
        <f>IF(tblRace2025[[#This Row],[Points]]&gt;0,"Yes","No")</f>
        <v>No</v>
      </c>
      <c r="R118">
        <v>2025</v>
      </c>
    </row>
    <row r="119" spans="1:18" x14ac:dyDescent="0.45">
      <c r="A119" t="s">
        <v>246</v>
      </c>
      <c r="B119" t="s">
        <v>79</v>
      </c>
      <c r="C119" t="str">
        <f>IFERROR(VALUE(tblRace2025[[#This Row],[Position]]),"")</f>
        <v/>
      </c>
      <c r="D119">
        <v>5</v>
      </c>
      <c r="E119" t="s">
        <v>83</v>
      </c>
      <c r="F119" t="s">
        <v>44</v>
      </c>
      <c r="G119">
        <v>13</v>
      </c>
      <c r="H119">
        <v>30</v>
      </c>
      <c r="I119" t="s">
        <v>81</v>
      </c>
      <c r="J119">
        <v>0</v>
      </c>
      <c r="K119" t="s">
        <v>2</v>
      </c>
      <c r="L119" t="s">
        <v>276</v>
      </c>
      <c r="M119" t="str">
        <f>IFERROR(IF(VALUE(tblRace2025[[#This Row],[Position]])=1,"Yes","No"),"No")</f>
        <v>No</v>
      </c>
      <c r="N119" t="str">
        <f>IFERROR(IF(VALUE(tblRace2025[[#This Row],[Position]])&lt;=3,"Yes","No"),"No")</f>
        <v>No</v>
      </c>
      <c r="O119">
        <f>IFERROR(VALUE(tblRace2025[[#This Row],[Starting Grid]])-VALUE(tblRace2025[[#This Row],[Position]]),0)</f>
        <v>0</v>
      </c>
      <c r="P119" t="str">
        <f>IFERROR(IF(AND(VALUE(tblRace2025[[#This Row],[Starting Grid]])=1,VALUE(tblRace2025[[#This Row],[Position]])=1),"Yes","No"),"No")</f>
        <v>No</v>
      </c>
      <c r="Q119" t="str">
        <f>IF(tblRace2025[[#This Row],[Points]]&gt;0,"Yes","No")</f>
        <v>No</v>
      </c>
      <c r="R119">
        <v>2025</v>
      </c>
    </row>
    <row r="120" spans="1:18" x14ac:dyDescent="0.45">
      <c r="A120" t="s">
        <v>246</v>
      </c>
      <c r="B120" t="s">
        <v>79</v>
      </c>
      <c r="C120" t="str">
        <f>IFERROR(VALUE(tblRace2025[[#This Row],[Position]]),"")</f>
        <v/>
      </c>
      <c r="D120">
        <v>87</v>
      </c>
      <c r="E120" t="s">
        <v>76</v>
      </c>
      <c r="F120" t="s">
        <v>72</v>
      </c>
      <c r="G120">
        <v>19</v>
      </c>
      <c r="H120">
        <v>27</v>
      </c>
      <c r="I120" t="s">
        <v>81</v>
      </c>
      <c r="J120">
        <v>0</v>
      </c>
      <c r="K120" t="s">
        <v>2</v>
      </c>
      <c r="L120" t="s">
        <v>277</v>
      </c>
      <c r="M120" t="str">
        <f>IFERROR(IF(VALUE(tblRace2025[[#This Row],[Position]])=1,"Yes","No"),"No")</f>
        <v>No</v>
      </c>
      <c r="N120" t="str">
        <f>IFERROR(IF(VALUE(tblRace2025[[#This Row],[Position]])&lt;=3,"Yes","No"),"No")</f>
        <v>No</v>
      </c>
      <c r="O120">
        <f>IFERROR(VALUE(tblRace2025[[#This Row],[Starting Grid]])-VALUE(tblRace2025[[#This Row],[Position]]),0)</f>
        <v>0</v>
      </c>
      <c r="P120" t="str">
        <f>IFERROR(IF(AND(VALUE(tblRace2025[[#This Row],[Starting Grid]])=1,VALUE(tblRace2025[[#This Row],[Position]])=1),"Yes","No"),"No")</f>
        <v>No</v>
      </c>
      <c r="Q120" t="str">
        <f>IF(tblRace2025[[#This Row],[Points]]&gt;0,"Yes","No")</f>
        <v>No</v>
      </c>
      <c r="R120">
        <v>2025</v>
      </c>
    </row>
    <row r="121" spans="1:18" x14ac:dyDescent="0.45">
      <c r="A121" t="s">
        <v>246</v>
      </c>
      <c r="B121" t="s">
        <v>79</v>
      </c>
      <c r="C121" t="str">
        <f>IFERROR(VALUE(tblRace2025[[#This Row],[Position]]),"")</f>
        <v/>
      </c>
      <c r="D121">
        <v>7</v>
      </c>
      <c r="E121" t="s">
        <v>89</v>
      </c>
      <c r="F121" t="s">
        <v>62</v>
      </c>
      <c r="G121">
        <v>14</v>
      </c>
      <c r="H121">
        <v>0</v>
      </c>
      <c r="I121" t="s">
        <v>81</v>
      </c>
      <c r="J121">
        <v>0</v>
      </c>
      <c r="K121" t="s">
        <v>2</v>
      </c>
      <c r="L121" t="s">
        <v>88</v>
      </c>
      <c r="M121" t="str">
        <f>IFERROR(IF(VALUE(tblRace2025[[#This Row],[Position]])=1,"Yes","No"),"No")</f>
        <v>No</v>
      </c>
      <c r="N121" t="str">
        <f>IFERROR(IF(VALUE(tblRace2025[[#This Row],[Position]])&lt;=3,"Yes","No"),"No")</f>
        <v>No</v>
      </c>
      <c r="O121">
        <f>IFERROR(VALUE(tblRace2025[[#This Row],[Starting Grid]])-VALUE(tblRace2025[[#This Row],[Position]]),0)</f>
        <v>0</v>
      </c>
      <c r="P121" t="str">
        <f>IFERROR(IF(AND(VALUE(tblRace2025[[#This Row],[Starting Grid]])=1,VALUE(tblRace2025[[#This Row],[Position]])=1),"Yes","No"),"No")</f>
        <v>No</v>
      </c>
      <c r="Q121" t="str">
        <f>IF(tblRace2025[[#This Row],[Points]]&gt;0,"Yes","No")</f>
        <v>No</v>
      </c>
      <c r="R121">
        <v>2025</v>
      </c>
    </row>
    <row r="122" spans="1:18" x14ac:dyDescent="0.45">
      <c r="A122" t="s">
        <v>278</v>
      </c>
      <c r="B122" t="s">
        <v>12</v>
      </c>
      <c r="C122">
        <f>IFERROR(VALUE(tblRace2025[[#This Row],[Position]]),"")</f>
        <v>1</v>
      </c>
      <c r="D122">
        <v>1</v>
      </c>
      <c r="E122" t="s">
        <v>19</v>
      </c>
      <c r="F122" t="s">
        <v>20</v>
      </c>
      <c r="G122">
        <v>2</v>
      </c>
      <c r="H122">
        <v>63</v>
      </c>
      <c r="I122" t="s">
        <v>279</v>
      </c>
      <c r="J122">
        <v>25</v>
      </c>
      <c r="K122" t="s">
        <v>16</v>
      </c>
      <c r="L122" t="s">
        <v>280</v>
      </c>
      <c r="M122" t="str">
        <f>IFERROR(IF(VALUE(tblRace2025[[#This Row],[Position]])=1,"Yes","No"),"No")</f>
        <v>Yes</v>
      </c>
      <c r="N122" t="str">
        <f>IFERROR(IF(VALUE(tblRace2025[[#This Row],[Position]])&lt;=3,"Yes","No"),"No")</f>
        <v>Yes</v>
      </c>
      <c r="O122">
        <f>IFERROR(VALUE(tblRace2025[[#This Row],[Starting Grid]])-VALUE(tblRace2025[[#This Row],[Position]]),0)</f>
        <v>1</v>
      </c>
      <c r="P122" t="str">
        <f>IFERROR(IF(AND(VALUE(tblRace2025[[#This Row],[Starting Grid]])=1,VALUE(tblRace2025[[#This Row],[Position]])=1),"Yes","No"),"No")</f>
        <v>No</v>
      </c>
      <c r="Q122" t="str">
        <f>IF(tblRace2025[[#This Row],[Points]]&gt;0,"Yes","No")</f>
        <v>Yes</v>
      </c>
      <c r="R122">
        <v>2025</v>
      </c>
    </row>
    <row r="123" spans="1:18" x14ac:dyDescent="0.45">
      <c r="A123" t="s">
        <v>278</v>
      </c>
      <c r="B123" t="s">
        <v>18</v>
      </c>
      <c r="C123">
        <f>IFERROR(VALUE(tblRace2025[[#This Row],[Position]]),"")</f>
        <v>2</v>
      </c>
      <c r="D123">
        <v>4</v>
      </c>
      <c r="E123" t="s">
        <v>13</v>
      </c>
      <c r="F123" t="s">
        <v>14</v>
      </c>
      <c r="G123">
        <v>4</v>
      </c>
      <c r="H123">
        <v>63</v>
      </c>
      <c r="I123" t="s">
        <v>281</v>
      </c>
      <c r="J123">
        <v>18</v>
      </c>
      <c r="K123" t="s">
        <v>2</v>
      </c>
      <c r="L123" t="s">
        <v>282</v>
      </c>
      <c r="M123" t="str">
        <f>IFERROR(IF(VALUE(tblRace2025[[#This Row],[Position]])=1,"Yes","No"),"No")</f>
        <v>No</v>
      </c>
      <c r="N123" t="str">
        <f>IFERROR(IF(VALUE(tblRace2025[[#This Row],[Position]])&lt;=3,"Yes","No"),"No")</f>
        <v>Yes</v>
      </c>
      <c r="O123">
        <f>IFERROR(VALUE(tblRace2025[[#This Row],[Starting Grid]])-VALUE(tblRace2025[[#This Row],[Position]]),0)</f>
        <v>2</v>
      </c>
      <c r="P123" t="str">
        <f>IFERROR(IF(AND(VALUE(tblRace2025[[#This Row],[Starting Grid]])=1,VALUE(tblRace2025[[#This Row],[Position]])=1),"Yes","No"),"No")</f>
        <v>No</v>
      </c>
      <c r="Q123" t="str">
        <f>IF(tblRace2025[[#This Row],[Points]]&gt;0,"Yes","No")</f>
        <v>Yes</v>
      </c>
      <c r="R123">
        <v>2025</v>
      </c>
    </row>
    <row r="124" spans="1:18" x14ac:dyDescent="0.45">
      <c r="A124" t="s">
        <v>278</v>
      </c>
      <c r="B124" t="s">
        <v>23</v>
      </c>
      <c r="C124">
        <f>IFERROR(VALUE(tblRace2025[[#This Row],[Position]]),"")</f>
        <v>3</v>
      </c>
      <c r="D124">
        <v>81</v>
      </c>
      <c r="E124" t="s">
        <v>53</v>
      </c>
      <c r="F124" t="s">
        <v>14</v>
      </c>
      <c r="G124">
        <v>1</v>
      </c>
      <c r="H124">
        <v>63</v>
      </c>
      <c r="I124" t="s">
        <v>283</v>
      </c>
      <c r="J124">
        <v>15</v>
      </c>
      <c r="K124" t="s">
        <v>2</v>
      </c>
      <c r="L124" t="s">
        <v>284</v>
      </c>
      <c r="M124" t="str">
        <f>IFERROR(IF(VALUE(tblRace2025[[#This Row],[Position]])=1,"Yes","No"),"No")</f>
        <v>No</v>
      </c>
      <c r="N124" t="str">
        <f>IFERROR(IF(VALUE(tblRace2025[[#This Row],[Position]])&lt;=3,"Yes","No"),"No")</f>
        <v>Yes</v>
      </c>
      <c r="O124">
        <f>IFERROR(VALUE(tblRace2025[[#This Row],[Starting Grid]])-VALUE(tblRace2025[[#This Row],[Position]]),0)</f>
        <v>-2</v>
      </c>
      <c r="P124" t="str">
        <f>IFERROR(IF(AND(VALUE(tblRace2025[[#This Row],[Starting Grid]])=1,VALUE(tblRace2025[[#This Row],[Position]])=1),"Yes","No"),"No")</f>
        <v>No</v>
      </c>
      <c r="Q124" t="str">
        <f>IF(tblRace2025[[#This Row],[Points]]&gt;0,"Yes","No")</f>
        <v>Yes</v>
      </c>
      <c r="R124">
        <v>2025</v>
      </c>
    </row>
    <row r="125" spans="1:18" x14ac:dyDescent="0.45">
      <c r="A125" t="s">
        <v>278</v>
      </c>
      <c r="B125" t="s">
        <v>28</v>
      </c>
      <c r="C125">
        <f>IFERROR(VALUE(tblRace2025[[#This Row],[Position]]),"")</f>
        <v>4</v>
      </c>
      <c r="D125">
        <v>44</v>
      </c>
      <c r="E125" t="s">
        <v>57</v>
      </c>
      <c r="F125" t="s">
        <v>49</v>
      </c>
      <c r="G125">
        <v>12</v>
      </c>
      <c r="H125">
        <v>63</v>
      </c>
      <c r="I125" t="s">
        <v>285</v>
      </c>
      <c r="J125">
        <v>12</v>
      </c>
      <c r="K125" t="s">
        <v>2</v>
      </c>
      <c r="L125" t="s">
        <v>286</v>
      </c>
      <c r="M125" t="str">
        <f>IFERROR(IF(VALUE(tblRace2025[[#This Row],[Position]])=1,"Yes","No"),"No")</f>
        <v>No</v>
      </c>
      <c r="N125" t="str">
        <f>IFERROR(IF(VALUE(tblRace2025[[#This Row],[Position]])&lt;=3,"Yes","No"),"No")</f>
        <v>No</v>
      </c>
      <c r="O125">
        <f>IFERROR(VALUE(tblRace2025[[#This Row],[Starting Grid]])-VALUE(tblRace2025[[#This Row],[Position]]),0)</f>
        <v>8</v>
      </c>
      <c r="P125" t="str">
        <f>IFERROR(IF(AND(VALUE(tblRace2025[[#This Row],[Starting Grid]])=1,VALUE(tblRace2025[[#This Row],[Position]])=1),"Yes","No"),"No")</f>
        <v>No</v>
      </c>
      <c r="Q125" t="str">
        <f>IF(tblRace2025[[#This Row],[Points]]&gt;0,"Yes","No")</f>
        <v>Yes</v>
      </c>
      <c r="R125">
        <v>2025</v>
      </c>
    </row>
    <row r="126" spans="1:18" x14ac:dyDescent="0.45">
      <c r="A126" t="s">
        <v>278</v>
      </c>
      <c r="B126" t="s">
        <v>32</v>
      </c>
      <c r="C126">
        <f>IFERROR(VALUE(tblRace2025[[#This Row],[Position]]),"")</f>
        <v>5</v>
      </c>
      <c r="D126">
        <v>23</v>
      </c>
      <c r="E126" t="s">
        <v>33</v>
      </c>
      <c r="F126" t="s">
        <v>34</v>
      </c>
      <c r="G126">
        <v>7</v>
      </c>
      <c r="H126">
        <v>63</v>
      </c>
      <c r="I126" t="s">
        <v>287</v>
      </c>
      <c r="J126">
        <v>10</v>
      </c>
      <c r="K126" t="s">
        <v>2</v>
      </c>
      <c r="L126" t="s">
        <v>288</v>
      </c>
      <c r="M126" t="str">
        <f>IFERROR(IF(VALUE(tblRace2025[[#This Row],[Position]])=1,"Yes","No"),"No")</f>
        <v>No</v>
      </c>
      <c r="N126" t="str">
        <f>IFERROR(IF(VALUE(tblRace2025[[#This Row],[Position]])&lt;=3,"Yes","No"),"No")</f>
        <v>No</v>
      </c>
      <c r="O126">
        <f>IFERROR(VALUE(tblRace2025[[#This Row],[Starting Grid]])-VALUE(tblRace2025[[#This Row],[Position]]),0)</f>
        <v>2</v>
      </c>
      <c r="P126" t="str">
        <f>IFERROR(IF(AND(VALUE(tblRace2025[[#This Row],[Starting Grid]])=1,VALUE(tblRace2025[[#This Row],[Position]])=1),"Yes","No"),"No")</f>
        <v>No</v>
      </c>
      <c r="Q126" t="str">
        <f>IF(tblRace2025[[#This Row],[Points]]&gt;0,"Yes","No")</f>
        <v>Yes</v>
      </c>
      <c r="R126">
        <v>2025</v>
      </c>
    </row>
    <row r="127" spans="1:18" x14ac:dyDescent="0.45">
      <c r="A127" t="s">
        <v>278</v>
      </c>
      <c r="B127" t="s">
        <v>37</v>
      </c>
      <c r="C127">
        <f>IFERROR(VALUE(tblRace2025[[#This Row],[Position]]),"")</f>
        <v>6</v>
      </c>
      <c r="D127">
        <v>16</v>
      </c>
      <c r="E127" t="s">
        <v>48</v>
      </c>
      <c r="F127" t="s">
        <v>49</v>
      </c>
      <c r="G127">
        <v>11</v>
      </c>
      <c r="H127">
        <v>63</v>
      </c>
      <c r="I127" t="s">
        <v>289</v>
      </c>
      <c r="J127">
        <v>8</v>
      </c>
      <c r="K127" t="s">
        <v>2</v>
      </c>
      <c r="L127" t="s">
        <v>290</v>
      </c>
      <c r="M127" t="str">
        <f>IFERROR(IF(VALUE(tblRace2025[[#This Row],[Position]])=1,"Yes","No"),"No")</f>
        <v>No</v>
      </c>
      <c r="N127" t="str">
        <f>IFERROR(IF(VALUE(tblRace2025[[#This Row],[Position]])&lt;=3,"Yes","No"),"No")</f>
        <v>No</v>
      </c>
      <c r="O127">
        <f>IFERROR(VALUE(tblRace2025[[#This Row],[Starting Grid]])-VALUE(tblRace2025[[#This Row],[Position]]),0)</f>
        <v>5</v>
      </c>
      <c r="P127" t="str">
        <f>IFERROR(IF(AND(VALUE(tblRace2025[[#This Row],[Starting Grid]])=1,VALUE(tblRace2025[[#This Row],[Position]])=1),"Yes","No"),"No")</f>
        <v>No</v>
      </c>
      <c r="Q127" t="str">
        <f>IF(tblRace2025[[#This Row],[Points]]&gt;0,"Yes","No")</f>
        <v>Yes</v>
      </c>
      <c r="R127">
        <v>2025</v>
      </c>
    </row>
    <row r="128" spans="1:18" x14ac:dyDescent="0.45">
      <c r="A128" t="s">
        <v>278</v>
      </c>
      <c r="B128" t="s">
        <v>42</v>
      </c>
      <c r="C128">
        <f>IFERROR(VALUE(tblRace2025[[#This Row],[Position]]),"")</f>
        <v>7</v>
      </c>
      <c r="D128">
        <v>63</v>
      </c>
      <c r="E128" t="s">
        <v>24</v>
      </c>
      <c r="F128" t="s">
        <v>25</v>
      </c>
      <c r="G128">
        <v>3</v>
      </c>
      <c r="H128">
        <v>63</v>
      </c>
      <c r="I128" t="s">
        <v>291</v>
      </c>
      <c r="J128">
        <v>6</v>
      </c>
      <c r="K128" t="s">
        <v>2</v>
      </c>
      <c r="L128" t="s">
        <v>292</v>
      </c>
      <c r="M128" t="str">
        <f>IFERROR(IF(VALUE(tblRace2025[[#This Row],[Position]])=1,"Yes","No"),"No")</f>
        <v>No</v>
      </c>
      <c r="N128" t="str">
        <f>IFERROR(IF(VALUE(tblRace2025[[#This Row],[Position]])&lt;=3,"Yes","No"),"No")</f>
        <v>No</v>
      </c>
      <c r="O128">
        <f>IFERROR(VALUE(tblRace2025[[#This Row],[Starting Grid]])-VALUE(tblRace2025[[#This Row],[Position]]),0)</f>
        <v>-4</v>
      </c>
      <c r="P128" t="str">
        <f>IFERROR(IF(AND(VALUE(tblRace2025[[#This Row],[Starting Grid]])=1,VALUE(tblRace2025[[#This Row],[Position]])=1),"Yes","No"),"No")</f>
        <v>No</v>
      </c>
      <c r="Q128" t="str">
        <f>IF(tblRace2025[[#This Row],[Points]]&gt;0,"Yes","No")</f>
        <v>Yes</v>
      </c>
      <c r="R128">
        <v>2025</v>
      </c>
    </row>
    <row r="129" spans="1:18" x14ac:dyDescent="0.45">
      <c r="A129" t="s">
        <v>278</v>
      </c>
      <c r="B129" t="s">
        <v>47</v>
      </c>
      <c r="C129">
        <f>IFERROR(VALUE(tblRace2025[[#This Row],[Position]]),"")</f>
        <v>8</v>
      </c>
      <c r="D129">
        <v>55</v>
      </c>
      <c r="E129" t="s">
        <v>87</v>
      </c>
      <c r="F129" t="s">
        <v>34</v>
      </c>
      <c r="G129">
        <v>6</v>
      </c>
      <c r="H129">
        <v>63</v>
      </c>
      <c r="I129" t="s">
        <v>293</v>
      </c>
      <c r="J129">
        <v>4</v>
      </c>
      <c r="K129" t="s">
        <v>2</v>
      </c>
      <c r="L129" t="s">
        <v>294</v>
      </c>
      <c r="M129" t="str">
        <f>IFERROR(IF(VALUE(tblRace2025[[#This Row],[Position]])=1,"Yes","No"),"No")</f>
        <v>No</v>
      </c>
      <c r="N129" t="str">
        <f>IFERROR(IF(VALUE(tblRace2025[[#This Row],[Position]])&lt;=3,"Yes","No"),"No")</f>
        <v>No</v>
      </c>
      <c r="O129">
        <f>IFERROR(VALUE(tblRace2025[[#This Row],[Starting Grid]])-VALUE(tblRace2025[[#This Row],[Position]]),0)</f>
        <v>-2</v>
      </c>
      <c r="P129" t="str">
        <f>IFERROR(IF(AND(VALUE(tblRace2025[[#This Row],[Starting Grid]])=1,VALUE(tblRace2025[[#This Row],[Position]])=1),"Yes","No"),"No")</f>
        <v>No</v>
      </c>
      <c r="Q129" t="str">
        <f>IF(tblRace2025[[#This Row],[Points]]&gt;0,"Yes","No")</f>
        <v>Yes</v>
      </c>
      <c r="R129">
        <v>2025</v>
      </c>
    </row>
    <row r="130" spans="1:18" x14ac:dyDescent="0.45">
      <c r="A130" t="s">
        <v>278</v>
      </c>
      <c r="B130" t="s">
        <v>52</v>
      </c>
      <c r="C130">
        <f>IFERROR(VALUE(tblRace2025[[#This Row],[Position]]),"")</f>
        <v>9</v>
      </c>
      <c r="D130">
        <v>6</v>
      </c>
      <c r="E130" t="s">
        <v>90</v>
      </c>
      <c r="F130" t="s">
        <v>67</v>
      </c>
      <c r="G130">
        <v>9</v>
      </c>
      <c r="H130">
        <v>63</v>
      </c>
      <c r="I130" t="s">
        <v>295</v>
      </c>
      <c r="J130">
        <v>2</v>
      </c>
      <c r="K130" t="s">
        <v>2</v>
      </c>
      <c r="L130" t="s">
        <v>296</v>
      </c>
      <c r="M130" t="str">
        <f>IFERROR(IF(VALUE(tblRace2025[[#This Row],[Position]])=1,"Yes","No"),"No")</f>
        <v>No</v>
      </c>
      <c r="N130" t="str">
        <f>IFERROR(IF(VALUE(tblRace2025[[#This Row],[Position]])&lt;=3,"Yes","No"),"No")</f>
        <v>No</v>
      </c>
      <c r="O130">
        <f>IFERROR(VALUE(tblRace2025[[#This Row],[Starting Grid]])-VALUE(tblRace2025[[#This Row],[Position]]),0)</f>
        <v>0</v>
      </c>
      <c r="P130" t="str">
        <f>IFERROR(IF(AND(VALUE(tblRace2025[[#This Row],[Starting Grid]])=1,VALUE(tblRace2025[[#This Row],[Position]])=1),"Yes","No"),"No")</f>
        <v>No</v>
      </c>
      <c r="Q130" t="str">
        <f>IF(tblRace2025[[#This Row],[Points]]&gt;0,"Yes","No")</f>
        <v>Yes</v>
      </c>
      <c r="R130">
        <v>2025</v>
      </c>
    </row>
    <row r="131" spans="1:18" x14ac:dyDescent="0.45">
      <c r="A131" t="s">
        <v>278</v>
      </c>
      <c r="B131" t="s">
        <v>56</v>
      </c>
      <c r="C131">
        <f>IFERROR(VALUE(tblRace2025[[#This Row],[Position]]),"")</f>
        <v>10</v>
      </c>
      <c r="D131">
        <v>22</v>
      </c>
      <c r="E131" t="s">
        <v>66</v>
      </c>
      <c r="F131" t="s">
        <v>20</v>
      </c>
      <c r="G131">
        <v>20</v>
      </c>
      <c r="H131">
        <v>63</v>
      </c>
      <c r="I131" t="s">
        <v>297</v>
      </c>
      <c r="J131">
        <v>1</v>
      </c>
      <c r="K131" t="s">
        <v>2</v>
      </c>
      <c r="L131" t="s">
        <v>298</v>
      </c>
      <c r="M131" t="str">
        <f>IFERROR(IF(VALUE(tblRace2025[[#This Row],[Position]])=1,"Yes","No"),"No")</f>
        <v>No</v>
      </c>
      <c r="N131" t="str">
        <f>IFERROR(IF(VALUE(tblRace2025[[#This Row],[Position]])&lt;=3,"Yes","No"),"No")</f>
        <v>No</v>
      </c>
      <c r="O131">
        <f>IFERROR(VALUE(tblRace2025[[#This Row],[Starting Grid]])-VALUE(tblRace2025[[#This Row],[Position]]),0)</f>
        <v>10</v>
      </c>
      <c r="P131" t="str">
        <f>IFERROR(IF(AND(VALUE(tblRace2025[[#This Row],[Starting Grid]])=1,VALUE(tblRace2025[[#This Row],[Position]])=1),"Yes","No"),"No")</f>
        <v>No</v>
      </c>
      <c r="Q131" t="str">
        <f>IF(tblRace2025[[#This Row],[Points]]&gt;0,"Yes","No")</f>
        <v>Yes</v>
      </c>
      <c r="R131">
        <v>2025</v>
      </c>
    </row>
    <row r="132" spans="1:18" x14ac:dyDescent="0.45">
      <c r="A132" t="s">
        <v>278</v>
      </c>
      <c r="B132" t="s">
        <v>60</v>
      </c>
      <c r="C132">
        <f>IFERROR(VALUE(tblRace2025[[#This Row],[Position]]),"")</f>
        <v>11</v>
      </c>
      <c r="D132">
        <v>14</v>
      </c>
      <c r="E132" t="s">
        <v>85</v>
      </c>
      <c r="F132" t="s">
        <v>39</v>
      </c>
      <c r="G132">
        <v>5</v>
      </c>
      <c r="H132">
        <v>63</v>
      </c>
      <c r="I132" t="s">
        <v>299</v>
      </c>
      <c r="J132">
        <v>0</v>
      </c>
      <c r="K132" t="s">
        <v>2</v>
      </c>
      <c r="L132" t="s">
        <v>300</v>
      </c>
      <c r="M132" t="str">
        <f>IFERROR(IF(VALUE(tblRace2025[[#This Row],[Position]])=1,"Yes","No"),"No")</f>
        <v>No</v>
      </c>
      <c r="N132" t="str">
        <f>IFERROR(IF(VALUE(tblRace2025[[#This Row],[Position]])&lt;=3,"Yes","No"),"No")</f>
        <v>No</v>
      </c>
      <c r="O132">
        <f>IFERROR(VALUE(tblRace2025[[#This Row],[Starting Grid]])-VALUE(tblRace2025[[#This Row],[Position]]),0)</f>
        <v>-6</v>
      </c>
      <c r="P132" t="str">
        <f>IFERROR(IF(AND(VALUE(tblRace2025[[#This Row],[Starting Grid]])=1,VALUE(tblRace2025[[#This Row],[Position]])=1),"Yes","No"),"No")</f>
        <v>No</v>
      </c>
      <c r="Q132" t="str">
        <f>IF(tblRace2025[[#This Row],[Points]]&gt;0,"Yes","No")</f>
        <v>No</v>
      </c>
      <c r="R132">
        <v>2025</v>
      </c>
    </row>
    <row r="133" spans="1:18" x14ac:dyDescent="0.45">
      <c r="A133" t="s">
        <v>278</v>
      </c>
      <c r="B133" t="s">
        <v>65</v>
      </c>
      <c r="C133">
        <f>IFERROR(VALUE(tblRace2025[[#This Row],[Position]]),"")</f>
        <v>12</v>
      </c>
      <c r="D133">
        <v>27</v>
      </c>
      <c r="E133" t="s">
        <v>43</v>
      </c>
      <c r="F133" t="s">
        <v>44</v>
      </c>
      <c r="G133">
        <v>17</v>
      </c>
      <c r="H133">
        <v>63</v>
      </c>
      <c r="I133" t="s">
        <v>301</v>
      </c>
      <c r="J133">
        <v>0</v>
      </c>
      <c r="K133" t="s">
        <v>2</v>
      </c>
      <c r="L133" t="s">
        <v>302</v>
      </c>
      <c r="M133" t="str">
        <f>IFERROR(IF(VALUE(tblRace2025[[#This Row],[Position]])=1,"Yes","No"),"No")</f>
        <v>No</v>
      </c>
      <c r="N133" t="str">
        <f>IFERROR(IF(VALUE(tblRace2025[[#This Row],[Position]])&lt;=3,"Yes","No"),"No")</f>
        <v>No</v>
      </c>
      <c r="O133">
        <f>IFERROR(VALUE(tblRace2025[[#This Row],[Starting Grid]])-VALUE(tblRace2025[[#This Row],[Position]]),0)</f>
        <v>5</v>
      </c>
      <c r="P133" t="str">
        <f>IFERROR(IF(AND(VALUE(tblRace2025[[#This Row],[Starting Grid]])=1,VALUE(tblRace2025[[#This Row],[Position]])=1),"Yes","No"),"No")</f>
        <v>No</v>
      </c>
      <c r="Q133" t="str">
        <f>IF(tblRace2025[[#This Row],[Points]]&gt;0,"Yes","No")</f>
        <v>No</v>
      </c>
      <c r="R133">
        <v>2025</v>
      </c>
    </row>
    <row r="134" spans="1:18" x14ac:dyDescent="0.45">
      <c r="A134" t="s">
        <v>278</v>
      </c>
      <c r="B134" t="s">
        <v>70</v>
      </c>
      <c r="C134">
        <f>IFERROR(VALUE(tblRace2025[[#This Row],[Position]]),"")</f>
        <v>13</v>
      </c>
      <c r="D134">
        <v>10</v>
      </c>
      <c r="E134" t="s">
        <v>61</v>
      </c>
      <c r="F134" t="s">
        <v>62</v>
      </c>
      <c r="G134">
        <v>10</v>
      </c>
      <c r="H134">
        <v>63</v>
      </c>
      <c r="I134" t="s">
        <v>303</v>
      </c>
      <c r="J134">
        <v>0</v>
      </c>
      <c r="K134" t="s">
        <v>2</v>
      </c>
      <c r="L134" t="s">
        <v>304</v>
      </c>
      <c r="M134" t="str">
        <f>IFERROR(IF(VALUE(tblRace2025[[#This Row],[Position]])=1,"Yes","No"),"No")</f>
        <v>No</v>
      </c>
      <c r="N134" t="str">
        <f>IFERROR(IF(VALUE(tblRace2025[[#This Row],[Position]])&lt;=3,"Yes","No"),"No")</f>
        <v>No</v>
      </c>
      <c r="O134">
        <f>IFERROR(VALUE(tblRace2025[[#This Row],[Starting Grid]])-VALUE(tblRace2025[[#This Row],[Position]]),0)</f>
        <v>-3</v>
      </c>
      <c r="P134" t="str">
        <f>IFERROR(IF(AND(VALUE(tblRace2025[[#This Row],[Starting Grid]])=1,VALUE(tblRace2025[[#This Row],[Position]])=1),"Yes","No"),"No")</f>
        <v>No</v>
      </c>
      <c r="Q134" t="str">
        <f>IF(tblRace2025[[#This Row],[Points]]&gt;0,"Yes","No")</f>
        <v>No</v>
      </c>
      <c r="R134">
        <v>2025</v>
      </c>
    </row>
    <row r="135" spans="1:18" x14ac:dyDescent="0.45">
      <c r="A135" t="s">
        <v>278</v>
      </c>
      <c r="B135" t="s">
        <v>75</v>
      </c>
      <c r="C135">
        <f>IFERROR(VALUE(tblRace2025[[#This Row],[Position]]),"")</f>
        <v>14</v>
      </c>
      <c r="D135">
        <v>30</v>
      </c>
      <c r="E135" t="s">
        <v>80</v>
      </c>
      <c r="F135" t="s">
        <v>67</v>
      </c>
      <c r="G135">
        <v>15</v>
      </c>
      <c r="H135">
        <v>63</v>
      </c>
      <c r="I135" t="s">
        <v>305</v>
      </c>
      <c r="J135">
        <v>0</v>
      </c>
      <c r="K135" t="s">
        <v>2</v>
      </c>
      <c r="L135" t="s">
        <v>306</v>
      </c>
      <c r="M135" t="str">
        <f>IFERROR(IF(VALUE(tblRace2025[[#This Row],[Position]])=1,"Yes","No"),"No")</f>
        <v>No</v>
      </c>
      <c r="N135" t="str">
        <f>IFERROR(IF(VALUE(tblRace2025[[#This Row],[Position]])&lt;=3,"Yes","No"),"No")</f>
        <v>No</v>
      </c>
      <c r="O135">
        <f>IFERROR(VALUE(tblRace2025[[#This Row],[Starting Grid]])-VALUE(tblRace2025[[#This Row],[Position]]),0)</f>
        <v>1</v>
      </c>
      <c r="P135" t="str">
        <f>IFERROR(IF(AND(VALUE(tblRace2025[[#This Row],[Starting Grid]])=1,VALUE(tblRace2025[[#This Row],[Position]])=1),"Yes","No"),"No")</f>
        <v>No</v>
      </c>
      <c r="Q135" t="str">
        <f>IF(tblRace2025[[#This Row],[Points]]&gt;0,"Yes","No")</f>
        <v>No</v>
      </c>
      <c r="R135">
        <v>2025</v>
      </c>
    </row>
    <row r="136" spans="1:18" x14ac:dyDescent="0.45">
      <c r="A136" t="s">
        <v>278</v>
      </c>
      <c r="B136" t="s">
        <v>120</v>
      </c>
      <c r="C136">
        <f>IFERROR(VALUE(tblRace2025[[#This Row],[Position]]),"")</f>
        <v>15</v>
      </c>
      <c r="D136">
        <v>18</v>
      </c>
      <c r="E136" t="s">
        <v>38</v>
      </c>
      <c r="F136" t="s">
        <v>39</v>
      </c>
      <c r="G136">
        <v>8</v>
      </c>
      <c r="H136">
        <v>63</v>
      </c>
      <c r="I136" t="s">
        <v>307</v>
      </c>
      <c r="J136">
        <v>0</v>
      </c>
      <c r="K136" t="s">
        <v>2</v>
      </c>
      <c r="L136" t="s">
        <v>306</v>
      </c>
      <c r="M136" t="str">
        <f>IFERROR(IF(VALUE(tblRace2025[[#This Row],[Position]])=1,"Yes","No"),"No")</f>
        <v>No</v>
      </c>
      <c r="N136" t="str">
        <f>IFERROR(IF(VALUE(tblRace2025[[#This Row],[Position]])&lt;=3,"Yes","No"),"No")</f>
        <v>No</v>
      </c>
      <c r="O136">
        <f>IFERROR(VALUE(tblRace2025[[#This Row],[Starting Grid]])-VALUE(tblRace2025[[#This Row],[Position]]),0)</f>
        <v>-7</v>
      </c>
      <c r="P136" t="str">
        <f>IFERROR(IF(AND(VALUE(tblRace2025[[#This Row],[Starting Grid]])=1,VALUE(tblRace2025[[#This Row],[Position]])=1),"Yes","No"),"No")</f>
        <v>No</v>
      </c>
      <c r="Q136" t="str">
        <f>IF(tblRace2025[[#This Row],[Points]]&gt;0,"Yes","No")</f>
        <v>No</v>
      </c>
      <c r="R136">
        <v>2025</v>
      </c>
    </row>
    <row r="137" spans="1:18" x14ac:dyDescent="0.45">
      <c r="A137" t="s">
        <v>278</v>
      </c>
      <c r="B137" t="s">
        <v>122</v>
      </c>
      <c r="C137">
        <f>IFERROR(VALUE(tblRace2025[[#This Row],[Position]]),"")</f>
        <v>16</v>
      </c>
      <c r="D137">
        <v>43</v>
      </c>
      <c r="E137" t="s">
        <v>308</v>
      </c>
      <c r="F137" t="s">
        <v>62</v>
      </c>
      <c r="G137">
        <v>16</v>
      </c>
      <c r="H137">
        <v>63</v>
      </c>
      <c r="I137" t="s">
        <v>309</v>
      </c>
      <c r="J137">
        <v>0</v>
      </c>
      <c r="K137" t="s">
        <v>2</v>
      </c>
      <c r="L137" t="s">
        <v>310</v>
      </c>
      <c r="M137" t="str">
        <f>IFERROR(IF(VALUE(tblRace2025[[#This Row],[Position]])=1,"Yes","No"),"No")</f>
        <v>No</v>
      </c>
      <c r="N137" t="str">
        <f>IFERROR(IF(VALUE(tblRace2025[[#This Row],[Position]])&lt;=3,"Yes","No"),"No")</f>
        <v>No</v>
      </c>
      <c r="O137">
        <f>IFERROR(VALUE(tblRace2025[[#This Row],[Starting Grid]])-VALUE(tblRace2025[[#This Row],[Position]]),0)</f>
        <v>0</v>
      </c>
      <c r="P137" t="str">
        <f>IFERROR(IF(AND(VALUE(tblRace2025[[#This Row],[Starting Grid]])=1,VALUE(tblRace2025[[#This Row],[Position]])=1),"Yes","No"),"No")</f>
        <v>No</v>
      </c>
      <c r="Q137" t="str">
        <f>IF(tblRace2025[[#This Row],[Points]]&gt;0,"Yes","No")</f>
        <v>No</v>
      </c>
      <c r="R137">
        <v>2025</v>
      </c>
    </row>
    <row r="138" spans="1:18" x14ac:dyDescent="0.45">
      <c r="A138" t="s">
        <v>278</v>
      </c>
      <c r="B138" t="s">
        <v>163</v>
      </c>
      <c r="C138">
        <f>IFERROR(VALUE(tblRace2025[[#This Row],[Position]]),"")</f>
        <v>17</v>
      </c>
      <c r="D138">
        <v>87</v>
      </c>
      <c r="E138" t="s">
        <v>76</v>
      </c>
      <c r="F138" t="s">
        <v>72</v>
      </c>
      <c r="G138">
        <v>19</v>
      </c>
      <c r="H138">
        <v>63</v>
      </c>
      <c r="I138" t="s">
        <v>311</v>
      </c>
      <c r="J138">
        <v>0</v>
      </c>
      <c r="K138" t="s">
        <v>2</v>
      </c>
      <c r="L138" t="s">
        <v>312</v>
      </c>
      <c r="M138" t="str">
        <f>IFERROR(IF(VALUE(tblRace2025[[#This Row],[Position]])=1,"Yes","No"),"No")</f>
        <v>No</v>
      </c>
      <c r="N138" t="str">
        <f>IFERROR(IF(VALUE(tblRace2025[[#This Row],[Position]])&lt;=3,"Yes","No"),"No")</f>
        <v>No</v>
      </c>
      <c r="O138">
        <f>IFERROR(VALUE(tblRace2025[[#This Row],[Starting Grid]])-VALUE(tblRace2025[[#This Row],[Position]]),0)</f>
        <v>2</v>
      </c>
      <c r="P138" t="str">
        <f>IFERROR(IF(AND(VALUE(tblRace2025[[#This Row],[Starting Grid]])=1,VALUE(tblRace2025[[#This Row],[Position]])=1),"Yes","No"),"No")</f>
        <v>No</v>
      </c>
      <c r="Q138" t="str">
        <f>IF(tblRace2025[[#This Row],[Points]]&gt;0,"Yes","No")</f>
        <v>No</v>
      </c>
      <c r="R138">
        <v>2025</v>
      </c>
    </row>
    <row r="139" spans="1:18" x14ac:dyDescent="0.45">
      <c r="A139" t="s">
        <v>278</v>
      </c>
      <c r="B139" t="s">
        <v>166</v>
      </c>
      <c r="C139">
        <f>IFERROR(VALUE(tblRace2025[[#This Row],[Position]]),"")</f>
        <v>18</v>
      </c>
      <c r="D139">
        <v>5</v>
      </c>
      <c r="E139" t="s">
        <v>83</v>
      </c>
      <c r="F139" t="s">
        <v>44</v>
      </c>
      <c r="G139">
        <v>14</v>
      </c>
      <c r="H139">
        <v>63</v>
      </c>
      <c r="I139" t="s">
        <v>313</v>
      </c>
      <c r="J139">
        <v>0</v>
      </c>
      <c r="K139" t="s">
        <v>2</v>
      </c>
      <c r="L139" t="s">
        <v>314</v>
      </c>
      <c r="M139" t="str">
        <f>IFERROR(IF(VALUE(tblRace2025[[#This Row],[Position]])=1,"Yes","No"),"No")</f>
        <v>No</v>
      </c>
      <c r="N139" t="str">
        <f>IFERROR(IF(VALUE(tblRace2025[[#This Row],[Position]])&lt;=3,"Yes","No"),"No")</f>
        <v>No</v>
      </c>
      <c r="O139">
        <f>IFERROR(VALUE(tblRace2025[[#This Row],[Starting Grid]])-VALUE(tblRace2025[[#This Row],[Position]]),0)</f>
        <v>-4</v>
      </c>
      <c r="P139" t="str">
        <f>IFERROR(IF(AND(VALUE(tblRace2025[[#This Row],[Starting Grid]])=1,VALUE(tblRace2025[[#This Row],[Position]])=1),"Yes","No"),"No")</f>
        <v>No</v>
      </c>
      <c r="Q139" t="str">
        <f>IF(tblRace2025[[#This Row],[Points]]&gt;0,"Yes","No")</f>
        <v>No</v>
      </c>
      <c r="R139">
        <v>2025</v>
      </c>
    </row>
    <row r="140" spans="1:18" x14ac:dyDescent="0.45">
      <c r="A140" t="s">
        <v>278</v>
      </c>
      <c r="B140" t="s">
        <v>79</v>
      </c>
      <c r="C140" t="str">
        <f>IFERROR(VALUE(tblRace2025[[#This Row],[Position]]),"")</f>
        <v/>
      </c>
      <c r="D140">
        <v>12</v>
      </c>
      <c r="E140" t="s">
        <v>29</v>
      </c>
      <c r="F140" t="s">
        <v>25</v>
      </c>
      <c r="G140">
        <v>13</v>
      </c>
      <c r="H140">
        <v>44</v>
      </c>
      <c r="I140" t="s">
        <v>81</v>
      </c>
      <c r="J140">
        <v>0</v>
      </c>
      <c r="K140" t="s">
        <v>2</v>
      </c>
      <c r="L140" t="s">
        <v>315</v>
      </c>
      <c r="M140" t="str">
        <f>IFERROR(IF(VALUE(tblRace2025[[#This Row],[Position]])=1,"Yes","No"),"No")</f>
        <v>No</v>
      </c>
      <c r="N140" t="str">
        <f>IFERROR(IF(VALUE(tblRace2025[[#This Row],[Position]])&lt;=3,"Yes","No"),"No")</f>
        <v>No</v>
      </c>
      <c r="O140">
        <f>IFERROR(VALUE(tblRace2025[[#This Row],[Starting Grid]])-VALUE(tblRace2025[[#This Row],[Position]]),0)</f>
        <v>0</v>
      </c>
      <c r="P140" t="str">
        <f>IFERROR(IF(AND(VALUE(tblRace2025[[#This Row],[Starting Grid]])=1,VALUE(tblRace2025[[#This Row],[Position]])=1),"Yes","No"),"No")</f>
        <v>No</v>
      </c>
      <c r="Q140" t="str">
        <f>IF(tblRace2025[[#This Row],[Points]]&gt;0,"Yes","No")</f>
        <v>No</v>
      </c>
      <c r="R140">
        <v>2025</v>
      </c>
    </row>
    <row r="141" spans="1:18" x14ac:dyDescent="0.45">
      <c r="A141" t="s">
        <v>278</v>
      </c>
      <c r="B141" t="s">
        <v>79</v>
      </c>
      <c r="C141" t="str">
        <f>IFERROR(VALUE(tblRace2025[[#This Row],[Position]]),"")</f>
        <v/>
      </c>
      <c r="D141">
        <v>31</v>
      </c>
      <c r="E141" t="s">
        <v>71</v>
      </c>
      <c r="F141" t="s">
        <v>72</v>
      </c>
      <c r="G141">
        <v>18</v>
      </c>
      <c r="H141">
        <v>27</v>
      </c>
      <c r="I141" t="s">
        <v>81</v>
      </c>
      <c r="J141">
        <v>0</v>
      </c>
      <c r="K141" t="s">
        <v>2</v>
      </c>
      <c r="L141" t="s">
        <v>316</v>
      </c>
      <c r="M141" t="str">
        <f>IFERROR(IF(VALUE(tblRace2025[[#This Row],[Position]])=1,"Yes","No"),"No")</f>
        <v>No</v>
      </c>
      <c r="N141" t="str">
        <f>IFERROR(IF(VALUE(tblRace2025[[#This Row],[Position]])&lt;=3,"Yes","No"),"No")</f>
        <v>No</v>
      </c>
      <c r="O141">
        <f>IFERROR(VALUE(tblRace2025[[#This Row],[Starting Grid]])-VALUE(tblRace2025[[#This Row],[Position]]),0)</f>
        <v>0</v>
      </c>
      <c r="P141" t="str">
        <f>IFERROR(IF(AND(VALUE(tblRace2025[[#This Row],[Starting Grid]])=1,VALUE(tblRace2025[[#This Row],[Position]])=1),"Yes","No"),"No")</f>
        <v>No</v>
      </c>
      <c r="Q141" t="str">
        <f>IF(tblRace2025[[#This Row],[Points]]&gt;0,"Yes","No")</f>
        <v>No</v>
      </c>
      <c r="R141">
        <v>2025</v>
      </c>
    </row>
    <row r="142" spans="1:18" x14ac:dyDescent="0.45">
      <c r="A142" t="s">
        <v>317</v>
      </c>
      <c r="B142" t="s">
        <v>12</v>
      </c>
      <c r="C142">
        <f>IFERROR(VALUE(tblRace2025[[#This Row],[Position]]),"")</f>
        <v>1</v>
      </c>
      <c r="D142">
        <v>4</v>
      </c>
      <c r="E142" t="s">
        <v>13</v>
      </c>
      <c r="F142" t="s">
        <v>14</v>
      </c>
      <c r="G142">
        <v>1</v>
      </c>
      <c r="H142">
        <v>78</v>
      </c>
      <c r="I142" t="s">
        <v>318</v>
      </c>
      <c r="J142">
        <v>25</v>
      </c>
      <c r="K142" t="s">
        <v>16</v>
      </c>
      <c r="L142" t="s">
        <v>319</v>
      </c>
      <c r="M142" t="str">
        <f>IFERROR(IF(VALUE(tblRace2025[[#This Row],[Position]])=1,"Yes","No"),"No")</f>
        <v>Yes</v>
      </c>
      <c r="N142" t="str">
        <f>IFERROR(IF(VALUE(tblRace2025[[#This Row],[Position]])&lt;=3,"Yes","No"),"No")</f>
        <v>Yes</v>
      </c>
      <c r="O142">
        <f>IFERROR(VALUE(tblRace2025[[#This Row],[Starting Grid]])-VALUE(tblRace2025[[#This Row],[Position]]),0)</f>
        <v>0</v>
      </c>
      <c r="P142" t="str">
        <f>IFERROR(IF(AND(VALUE(tblRace2025[[#This Row],[Starting Grid]])=1,VALUE(tblRace2025[[#This Row],[Position]])=1),"Yes","No"),"No")</f>
        <v>Yes</v>
      </c>
      <c r="Q142" t="str">
        <f>IF(tblRace2025[[#This Row],[Points]]&gt;0,"Yes","No")</f>
        <v>Yes</v>
      </c>
      <c r="R142">
        <v>2025</v>
      </c>
    </row>
    <row r="143" spans="1:18" x14ac:dyDescent="0.45">
      <c r="A143" t="s">
        <v>317</v>
      </c>
      <c r="B143" t="s">
        <v>18</v>
      </c>
      <c r="C143">
        <f>IFERROR(VALUE(tblRace2025[[#This Row],[Position]]),"")</f>
        <v>2</v>
      </c>
      <c r="D143">
        <v>16</v>
      </c>
      <c r="E143" t="s">
        <v>48</v>
      </c>
      <c r="F143" t="s">
        <v>49</v>
      </c>
      <c r="G143">
        <v>2</v>
      </c>
      <c r="H143">
        <v>78</v>
      </c>
      <c r="I143" t="s">
        <v>320</v>
      </c>
      <c r="J143">
        <v>18</v>
      </c>
      <c r="K143" t="s">
        <v>2</v>
      </c>
      <c r="L143" t="s">
        <v>321</v>
      </c>
      <c r="M143" t="str">
        <f>IFERROR(IF(VALUE(tblRace2025[[#This Row],[Position]])=1,"Yes","No"),"No")</f>
        <v>No</v>
      </c>
      <c r="N143" t="str">
        <f>IFERROR(IF(VALUE(tblRace2025[[#This Row],[Position]])&lt;=3,"Yes","No"),"No")</f>
        <v>Yes</v>
      </c>
      <c r="O143">
        <f>IFERROR(VALUE(tblRace2025[[#This Row],[Starting Grid]])-VALUE(tblRace2025[[#This Row],[Position]]),0)</f>
        <v>0</v>
      </c>
      <c r="P143" t="str">
        <f>IFERROR(IF(AND(VALUE(tblRace2025[[#This Row],[Starting Grid]])=1,VALUE(tblRace2025[[#This Row],[Position]])=1),"Yes","No"),"No")</f>
        <v>No</v>
      </c>
      <c r="Q143" t="str">
        <f>IF(tblRace2025[[#This Row],[Points]]&gt;0,"Yes","No")</f>
        <v>Yes</v>
      </c>
      <c r="R143">
        <v>2025</v>
      </c>
    </row>
    <row r="144" spans="1:18" x14ac:dyDescent="0.45">
      <c r="A144" t="s">
        <v>317</v>
      </c>
      <c r="B144" t="s">
        <v>23</v>
      </c>
      <c r="C144">
        <f>IFERROR(VALUE(tblRace2025[[#This Row],[Position]]),"")</f>
        <v>3</v>
      </c>
      <c r="D144">
        <v>81</v>
      </c>
      <c r="E144" t="s">
        <v>53</v>
      </c>
      <c r="F144" t="s">
        <v>14</v>
      </c>
      <c r="G144">
        <v>3</v>
      </c>
      <c r="H144">
        <v>78</v>
      </c>
      <c r="I144" t="s">
        <v>322</v>
      </c>
      <c r="J144">
        <v>15</v>
      </c>
      <c r="K144" t="s">
        <v>2</v>
      </c>
      <c r="L144" t="s">
        <v>323</v>
      </c>
      <c r="M144" t="str">
        <f>IFERROR(IF(VALUE(tblRace2025[[#This Row],[Position]])=1,"Yes","No"),"No")</f>
        <v>No</v>
      </c>
      <c r="N144" t="str">
        <f>IFERROR(IF(VALUE(tblRace2025[[#This Row],[Position]])&lt;=3,"Yes","No"),"No")</f>
        <v>Yes</v>
      </c>
      <c r="O144">
        <f>IFERROR(VALUE(tblRace2025[[#This Row],[Starting Grid]])-VALUE(tblRace2025[[#This Row],[Position]]),0)</f>
        <v>0</v>
      </c>
      <c r="P144" t="str">
        <f>IFERROR(IF(AND(VALUE(tblRace2025[[#This Row],[Starting Grid]])=1,VALUE(tblRace2025[[#This Row],[Position]])=1),"Yes","No"),"No")</f>
        <v>No</v>
      </c>
      <c r="Q144" t="str">
        <f>IF(tblRace2025[[#This Row],[Points]]&gt;0,"Yes","No")</f>
        <v>Yes</v>
      </c>
      <c r="R144">
        <v>2025</v>
      </c>
    </row>
    <row r="145" spans="1:18" x14ac:dyDescent="0.45">
      <c r="A145" t="s">
        <v>317</v>
      </c>
      <c r="B145" t="s">
        <v>28</v>
      </c>
      <c r="C145">
        <f>IFERROR(VALUE(tblRace2025[[#This Row],[Position]]),"")</f>
        <v>4</v>
      </c>
      <c r="D145">
        <v>1</v>
      </c>
      <c r="E145" t="s">
        <v>19</v>
      </c>
      <c r="F145" t="s">
        <v>20</v>
      </c>
      <c r="G145">
        <v>4</v>
      </c>
      <c r="H145">
        <v>78</v>
      </c>
      <c r="I145" t="s">
        <v>324</v>
      </c>
      <c r="J145">
        <v>12</v>
      </c>
      <c r="K145" t="s">
        <v>2</v>
      </c>
      <c r="L145" t="s">
        <v>325</v>
      </c>
      <c r="M145" t="str">
        <f>IFERROR(IF(VALUE(tblRace2025[[#This Row],[Position]])=1,"Yes","No"),"No")</f>
        <v>No</v>
      </c>
      <c r="N145" t="str">
        <f>IFERROR(IF(VALUE(tblRace2025[[#This Row],[Position]])&lt;=3,"Yes","No"),"No")</f>
        <v>No</v>
      </c>
      <c r="O145">
        <f>IFERROR(VALUE(tblRace2025[[#This Row],[Starting Grid]])-VALUE(tblRace2025[[#This Row],[Position]]),0)</f>
        <v>0</v>
      </c>
      <c r="P145" t="str">
        <f>IFERROR(IF(AND(VALUE(tblRace2025[[#This Row],[Starting Grid]])=1,VALUE(tblRace2025[[#This Row],[Position]])=1),"Yes","No"),"No")</f>
        <v>No</v>
      </c>
      <c r="Q145" t="str">
        <f>IF(tblRace2025[[#This Row],[Points]]&gt;0,"Yes","No")</f>
        <v>Yes</v>
      </c>
      <c r="R145">
        <v>2025</v>
      </c>
    </row>
    <row r="146" spans="1:18" x14ac:dyDescent="0.45">
      <c r="A146" t="s">
        <v>317</v>
      </c>
      <c r="B146" t="s">
        <v>32</v>
      </c>
      <c r="C146">
        <f>IFERROR(VALUE(tblRace2025[[#This Row],[Position]]),"")</f>
        <v>5</v>
      </c>
      <c r="D146">
        <v>44</v>
      </c>
      <c r="E146" t="s">
        <v>57</v>
      </c>
      <c r="F146" t="s">
        <v>49</v>
      </c>
      <c r="G146">
        <v>7</v>
      </c>
      <c r="H146">
        <v>78</v>
      </c>
      <c r="I146" t="s">
        <v>326</v>
      </c>
      <c r="J146">
        <v>10</v>
      </c>
      <c r="K146" t="s">
        <v>2</v>
      </c>
      <c r="L146" t="s">
        <v>327</v>
      </c>
      <c r="M146" t="str">
        <f>IFERROR(IF(VALUE(tblRace2025[[#This Row],[Position]])=1,"Yes","No"),"No")</f>
        <v>No</v>
      </c>
      <c r="N146" t="str">
        <f>IFERROR(IF(VALUE(tblRace2025[[#This Row],[Position]])&lt;=3,"Yes","No"),"No")</f>
        <v>No</v>
      </c>
      <c r="O146">
        <f>IFERROR(VALUE(tblRace2025[[#This Row],[Starting Grid]])-VALUE(tblRace2025[[#This Row],[Position]]),0)</f>
        <v>2</v>
      </c>
      <c r="P146" t="str">
        <f>IFERROR(IF(AND(VALUE(tblRace2025[[#This Row],[Starting Grid]])=1,VALUE(tblRace2025[[#This Row],[Position]])=1),"Yes","No"),"No")</f>
        <v>No</v>
      </c>
      <c r="Q146" t="str">
        <f>IF(tblRace2025[[#This Row],[Points]]&gt;0,"Yes","No")</f>
        <v>Yes</v>
      </c>
      <c r="R146">
        <v>2025</v>
      </c>
    </row>
    <row r="147" spans="1:18" x14ac:dyDescent="0.45">
      <c r="A147" t="s">
        <v>317</v>
      </c>
      <c r="B147" t="s">
        <v>37</v>
      </c>
      <c r="C147">
        <f>IFERROR(VALUE(tblRace2025[[#This Row],[Position]]),"")</f>
        <v>6</v>
      </c>
      <c r="D147">
        <v>6</v>
      </c>
      <c r="E147" t="s">
        <v>90</v>
      </c>
      <c r="F147" t="s">
        <v>67</v>
      </c>
      <c r="G147">
        <v>5</v>
      </c>
      <c r="H147">
        <v>77</v>
      </c>
      <c r="I147" t="s">
        <v>118</v>
      </c>
      <c r="J147">
        <v>8</v>
      </c>
      <c r="K147" t="s">
        <v>2</v>
      </c>
      <c r="L147" t="s">
        <v>328</v>
      </c>
      <c r="M147" t="str">
        <f>IFERROR(IF(VALUE(tblRace2025[[#This Row],[Position]])=1,"Yes","No"),"No")</f>
        <v>No</v>
      </c>
      <c r="N147" t="str">
        <f>IFERROR(IF(VALUE(tblRace2025[[#This Row],[Position]])&lt;=3,"Yes","No"),"No")</f>
        <v>No</v>
      </c>
      <c r="O147">
        <f>IFERROR(VALUE(tblRace2025[[#This Row],[Starting Grid]])-VALUE(tblRace2025[[#This Row],[Position]]),0)</f>
        <v>-1</v>
      </c>
      <c r="P147" t="str">
        <f>IFERROR(IF(AND(VALUE(tblRace2025[[#This Row],[Starting Grid]])=1,VALUE(tblRace2025[[#This Row],[Position]])=1),"Yes","No"),"No")</f>
        <v>No</v>
      </c>
      <c r="Q147" t="str">
        <f>IF(tblRace2025[[#This Row],[Points]]&gt;0,"Yes","No")</f>
        <v>Yes</v>
      </c>
      <c r="R147">
        <v>2025</v>
      </c>
    </row>
    <row r="148" spans="1:18" x14ac:dyDescent="0.45">
      <c r="A148" t="s">
        <v>317</v>
      </c>
      <c r="B148" t="s">
        <v>42</v>
      </c>
      <c r="C148">
        <f>IFERROR(VALUE(tblRace2025[[#This Row],[Position]]),"")</f>
        <v>7</v>
      </c>
      <c r="D148">
        <v>31</v>
      </c>
      <c r="E148" t="s">
        <v>71</v>
      </c>
      <c r="F148" t="s">
        <v>72</v>
      </c>
      <c r="G148">
        <v>8</v>
      </c>
      <c r="H148">
        <v>77</v>
      </c>
      <c r="I148" t="s">
        <v>118</v>
      </c>
      <c r="J148">
        <v>6</v>
      </c>
      <c r="K148" t="s">
        <v>2</v>
      </c>
      <c r="L148" t="s">
        <v>329</v>
      </c>
      <c r="M148" t="str">
        <f>IFERROR(IF(VALUE(tblRace2025[[#This Row],[Position]])=1,"Yes","No"),"No")</f>
        <v>No</v>
      </c>
      <c r="N148" t="str">
        <f>IFERROR(IF(VALUE(tblRace2025[[#This Row],[Position]])&lt;=3,"Yes","No"),"No")</f>
        <v>No</v>
      </c>
      <c r="O148">
        <f>IFERROR(VALUE(tblRace2025[[#This Row],[Starting Grid]])-VALUE(tblRace2025[[#This Row],[Position]]),0)</f>
        <v>1</v>
      </c>
      <c r="P148" t="str">
        <f>IFERROR(IF(AND(VALUE(tblRace2025[[#This Row],[Starting Grid]])=1,VALUE(tblRace2025[[#This Row],[Position]])=1),"Yes","No"),"No")</f>
        <v>No</v>
      </c>
      <c r="Q148" t="str">
        <f>IF(tblRace2025[[#This Row],[Points]]&gt;0,"Yes","No")</f>
        <v>Yes</v>
      </c>
      <c r="R148">
        <v>2025</v>
      </c>
    </row>
    <row r="149" spans="1:18" x14ac:dyDescent="0.45">
      <c r="A149" t="s">
        <v>317</v>
      </c>
      <c r="B149" t="s">
        <v>47</v>
      </c>
      <c r="C149">
        <f>IFERROR(VALUE(tblRace2025[[#This Row],[Position]]),"")</f>
        <v>8</v>
      </c>
      <c r="D149">
        <v>30</v>
      </c>
      <c r="E149" t="s">
        <v>80</v>
      </c>
      <c r="F149" t="s">
        <v>67</v>
      </c>
      <c r="G149">
        <v>9</v>
      </c>
      <c r="H149">
        <v>77</v>
      </c>
      <c r="I149" t="s">
        <v>118</v>
      </c>
      <c r="J149">
        <v>4</v>
      </c>
      <c r="K149" t="s">
        <v>2</v>
      </c>
      <c r="L149" t="s">
        <v>330</v>
      </c>
      <c r="M149" t="str">
        <f>IFERROR(IF(VALUE(tblRace2025[[#This Row],[Position]])=1,"Yes","No"),"No")</f>
        <v>No</v>
      </c>
      <c r="N149" t="str">
        <f>IFERROR(IF(VALUE(tblRace2025[[#This Row],[Position]])&lt;=3,"Yes","No"),"No")</f>
        <v>No</v>
      </c>
      <c r="O149">
        <f>IFERROR(VALUE(tblRace2025[[#This Row],[Starting Grid]])-VALUE(tblRace2025[[#This Row],[Position]]),0)</f>
        <v>1</v>
      </c>
      <c r="P149" t="str">
        <f>IFERROR(IF(AND(VALUE(tblRace2025[[#This Row],[Starting Grid]])=1,VALUE(tblRace2025[[#This Row],[Position]])=1),"Yes","No"),"No")</f>
        <v>No</v>
      </c>
      <c r="Q149" t="str">
        <f>IF(tblRace2025[[#This Row],[Points]]&gt;0,"Yes","No")</f>
        <v>Yes</v>
      </c>
      <c r="R149">
        <v>2025</v>
      </c>
    </row>
    <row r="150" spans="1:18" x14ac:dyDescent="0.45">
      <c r="A150" t="s">
        <v>317</v>
      </c>
      <c r="B150" t="s">
        <v>52</v>
      </c>
      <c r="C150">
        <f>IFERROR(VALUE(tblRace2025[[#This Row],[Position]]),"")</f>
        <v>9</v>
      </c>
      <c r="D150">
        <v>23</v>
      </c>
      <c r="E150" t="s">
        <v>33</v>
      </c>
      <c r="F150" t="s">
        <v>34</v>
      </c>
      <c r="G150">
        <v>10</v>
      </c>
      <c r="H150">
        <v>76</v>
      </c>
      <c r="I150" t="s">
        <v>331</v>
      </c>
      <c r="J150">
        <v>2</v>
      </c>
      <c r="K150" t="s">
        <v>2</v>
      </c>
      <c r="L150" t="s">
        <v>332</v>
      </c>
      <c r="M150" t="str">
        <f>IFERROR(IF(VALUE(tblRace2025[[#This Row],[Position]])=1,"Yes","No"),"No")</f>
        <v>No</v>
      </c>
      <c r="N150" t="str">
        <f>IFERROR(IF(VALUE(tblRace2025[[#This Row],[Position]])&lt;=3,"Yes","No"),"No")</f>
        <v>No</v>
      </c>
      <c r="O150">
        <f>IFERROR(VALUE(tblRace2025[[#This Row],[Starting Grid]])-VALUE(tblRace2025[[#This Row],[Position]]),0)</f>
        <v>1</v>
      </c>
      <c r="P150" t="str">
        <f>IFERROR(IF(AND(VALUE(tblRace2025[[#This Row],[Starting Grid]])=1,VALUE(tblRace2025[[#This Row],[Position]])=1),"Yes","No"),"No")</f>
        <v>No</v>
      </c>
      <c r="Q150" t="str">
        <f>IF(tblRace2025[[#This Row],[Points]]&gt;0,"Yes","No")</f>
        <v>Yes</v>
      </c>
      <c r="R150">
        <v>2025</v>
      </c>
    </row>
    <row r="151" spans="1:18" x14ac:dyDescent="0.45">
      <c r="A151" t="s">
        <v>317</v>
      </c>
      <c r="B151" t="s">
        <v>56</v>
      </c>
      <c r="C151">
        <f>IFERROR(VALUE(tblRace2025[[#This Row],[Position]]),"")</f>
        <v>10</v>
      </c>
      <c r="D151">
        <v>55</v>
      </c>
      <c r="E151" t="s">
        <v>87</v>
      </c>
      <c r="F151" t="s">
        <v>34</v>
      </c>
      <c r="G151">
        <v>11</v>
      </c>
      <c r="H151">
        <v>76</v>
      </c>
      <c r="I151" t="s">
        <v>331</v>
      </c>
      <c r="J151">
        <v>1</v>
      </c>
      <c r="K151" t="s">
        <v>2</v>
      </c>
      <c r="L151" t="s">
        <v>333</v>
      </c>
      <c r="M151" t="str">
        <f>IFERROR(IF(VALUE(tblRace2025[[#This Row],[Position]])=1,"Yes","No"),"No")</f>
        <v>No</v>
      </c>
      <c r="N151" t="str">
        <f>IFERROR(IF(VALUE(tblRace2025[[#This Row],[Position]])&lt;=3,"Yes","No"),"No")</f>
        <v>No</v>
      </c>
      <c r="O151">
        <f>IFERROR(VALUE(tblRace2025[[#This Row],[Starting Grid]])-VALUE(tblRace2025[[#This Row],[Position]]),0)</f>
        <v>1</v>
      </c>
      <c r="P151" t="str">
        <f>IFERROR(IF(AND(VALUE(tblRace2025[[#This Row],[Starting Grid]])=1,VALUE(tblRace2025[[#This Row],[Position]])=1),"Yes","No"),"No")</f>
        <v>No</v>
      </c>
      <c r="Q151" t="str">
        <f>IF(tblRace2025[[#This Row],[Points]]&gt;0,"Yes","No")</f>
        <v>Yes</v>
      </c>
      <c r="R151">
        <v>2025</v>
      </c>
    </row>
    <row r="152" spans="1:18" x14ac:dyDescent="0.45">
      <c r="A152" t="s">
        <v>317</v>
      </c>
      <c r="B152" t="s">
        <v>60</v>
      </c>
      <c r="C152">
        <f>IFERROR(VALUE(tblRace2025[[#This Row],[Position]]),"")</f>
        <v>11</v>
      </c>
      <c r="D152">
        <v>63</v>
      </c>
      <c r="E152" t="s">
        <v>24</v>
      </c>
      <c r="F152" t="s">
        <v>25</v>
      </c>
      <c r="G152">
        <v>14</v>
      </c>
      <c r="H152">
        <v>76</v>
      </c>
      <c r="I152" t="s">
        <v>331</v>
      </c>
      <c r="J152">
        <v>0</v>
      </c>
      <c r="K152" t="s">
        <v>2</v>
      </c>
      <c r="L152" t="s">
        <v>334</v>
      </c>
      <c r="M152" t="str">
        <f>IFERROR(IF(VALUE(tblRace2025[[#This Row],[Position]])=1,"Yes","No"),"No")</f>
        <v>No</v>
      </c>
      <c r="N152" t="str">
        <f>IFERROR(IF(VALUE(tblRace2025[[#This Row],[Position]])&lt;=3,"Yes","No"),"No")</f>
        <v>No</v>
      </c>
      <c r="O152">
        <f>IFERROR(VALUE(tblRace2025[[#This Row],[Starting Grid]])-VALUE(tblRace2025[[#This Row],[Position]]),0)</f>
        <v>3</v>
      </c>
      <c r="P152" t="str">
        <f>IFERROR(IF(AND(VALUE(tblRace2025[[#This Row],[Starting Grid]])=1,VALUE(tblRace2025[[#This Row],[Position]])=1),"Yes","No"),"No")</f>
        <v>No</v>
      </c>
      <c r="Q152" t="str">
        <f>IF(tblRace2025[[#This Row],[Points]]&gt;0,"Yes","No")</f>
        <v>No</v>
      </c>
      <c r="R152">
        <v>2025</v>
      </c>
    </row>
    <row r="153" spans="1:18" x14ac:dyDescent="0.45">
      <c r="A153" t="s">
        <v>317</v>
      </c>
      <c r="B153" t="s">
        <v>65</v>
      </c>
      <c r="C153">
        <f>IFERROR(VALUE(tblRace2025[[#This Row],[Position]]),"")</f>
        <v>12</v>
      </c>
      <c r="D153">
        <v>87</v>
      </c>
      <c r="E153" t="s">
        <v>76</v>
      </c>
      <c r="F153" t="s">
        <v>72</v>
      </c>
      <c r="G153">
        <v>20</v>
      </c>
      <c r="H153">
        <v>76</v>
      </c>
      <c r="I153" t="s">
        <v>331</v>
      </c>
      <c r="J153">
        <v>0</v>
      </c>
      <c r="K153" t="s">
        <v>2</v>
      </c>
      <c r="L153" t="s">
        <v>335</v>
      </c>
      <c r="M153" t="str">
        <f>IFERROR(IF(VALUE(tblRace2025[[#This Row],[Position]])=1,"Yes","No"),"No")</f>
        <v>No</v>
      </c>
      <c r="N153" t="str">
        <f>IFERROR(IF(VALUE(tblRace2025[[#This Row],[Position]])&lt;=3,"Yes","No"),"No")</f>
        <v>No</v>
      </c>
      <c r="O153">
        <f>IFERROR(VALUE(tblRace2025[[#This Row],[Starting Grid]])-VALUE(tblRace2025[[#This Row],[Position]]),0)</f>
        <v>8</v>
      </c>
      <c r="P153" t="str">
        <f>IFERROR(IF(AND(VALUE(tblRace2025[[#This Row],[Starting Grid]])=1,VALUE(tblRace2025[[#This Row],[Position]])=1),"Yes","No"),"No")</f>
        <v>No</v>
      </c>
      <c r="Q153" t="str">
        <f>IF(tblRace2025[[#This Row],[Points]]&gt;0,"Yes","No")</f>
        <v>No</v>
      </c>
      <c r="R153">
        <v>2025</v>
      </c>
    </row>
    <row r="154" spans="1:18" x14ac:dyDescent="0.45">
      <c r="A154" t="s">
        <v>317</v>
      </c>
      <c r="B154" t="s">
        <v>70</v>
      </c>
      <c r="C154">
        <f>IFERROR(VALUE(tblRace2025[[#This Row],[Position]]),"")</f>
        <v>13</v>
      </c>
      <c r="D154">
        <v>43</v>
      </c>
      <c r="E154" t="s">
        <v>308</v>
      </c>
      <c r="F154" t="s">
        <v>62</v>
      </c>
      <c r="G154">
        <v>18</v>
      </c>
      <c r="H154">
        <v>76</v>
      </c>
      <c r="I154" t="s">
        <v>331</v>
      </c>
      <c r="J154">
        <v>0</v>
      </c>
      <c r="K154" t="s">
        <v>2</v>
      </c>
      <c r="L154" t="s">
        <v>336</v>
      </c>
      <c r="M154" t="str">
        <f>IFERROR(IF(VALUE(tblRace2025[[#This Row],[Position]])=1,"Yes","No"),"No")</f>
        <v>No</v>
      </c>
      <c r="N154" t="str">
        <f>IFERROR(IF(VALUE(tblRace2025[[#This Row],[Position]])&lt;=3,"Yes","No"),"No")</f>
        <v>No</v>
      </c>
      <c r="O154">
        <f>IFERROR(VALUE(tblRace2025[[#This Row],[Starting Grid]])-VALUE(tblRace2025[[#This Row],[Position]]),0)</f>
        <v>5</v>
      </c>
      <c r="P154" t="str">
        <f>IFERROR(IF(AND(VALUE(tblRace2025[[#This Row],[Starting Grid]])=1,VALUE(tblRace2025[[#This Row],[Position]])=1),"Yes","No"),"No")</f>
        <v>No</v>
      </c>
      <c r="Q154" t="str">
        <f>IF(tblRace2025[[#This Row],[Points]]&gt;0,"Yes","No")</f>
        <v>No</v>
      </c>
      <c r="R154">
        <v>2025</v>
      </c>
    </row>
    <row r="155" spans="1:18" x14ac:dyDescent="0.45">
      <c r="A155" t="s">
        <v>317</v>
      </c>
      <c r="B155" t="s">
        <v>75</v>
      </c>
      <c r="C155">
        <f>IFERROR(VALUE(tblRace2025[[#This Row],[Position]]),"")</f>
        <v>14</v>
      </c>
      <c r="D155">
        <v>5</v>
      </c>
      <c r="E155" t="s">
        <v>83</v>
      </c>
      <c r="F155" t="s">
        <v>44</v>
      </c>
      <c r="G155">
        <v>16</v>
      </c>
      <c r="H155">
        <v>76</v>
      </c>
      <c r="I155" t="s">
        <v>331</v>
      </c>
      <c r="J155">
        <v>0</v>
      </c>
      <c r="K155" t="s">
        <v>2</v>
      </c>
      <c r="L155" t="s">
        <v>337</v>
      </c>
      <c r="M155" t="str">
        <f>IFERROR(IF(VALUE(tblRace2025[[#This Row],[Position]])=1,"Yes","No"),"No")</f>
        <v>No</v>
      </c>
      <c r="N155" t="str">
        <f>IFERROR(IF(VALUE(tblRace2025[[#This Row],[Position]])&lt;=3,"Yes","No"),"No")</f>
        <v>No</v>
      </c>
      <c r="O155">
        <f>IFERROR(VALUE(tblRace2025[[#This Row],[Starting Grid]])-VALUE(tblRace2025[[#This Row],[Position]]),0)</f>
        <v>2</v>
      </c>
      <c r="P155" t="str">
        <f>IFERROR(IF(AND(VALUE(tblRace2025[[#This Row],[Starting Grid]])=1,VALUE(tblRace2025[[#This Row],[Position]])=1),"Yes","No"),"No")</f>
        <v>No</v>
      </c>
      <c r="Q155" t="str">
        <f>IF(tblRace2025[[#This Row],[Points]]&gt;0,"Yes","No")</f>
        <v>No</v>
      </c>
      <c r="R155">
        <v>2025</v>
      </c>
    </row>
    <row r="156" spans="1:18" x14ac:dyDescent="0.45">
      <c r="A156" t="s">
        <v>317</v>
      </c>
      <c r="B156" t="s">
        <v>120</v>
      </c>
      <c r="C156">
        <f>IFERROR(VALUE(tblRace2025[[#This Row],[Position]]),"")</f>
        <v>15</v>
      </c>
      <c r="D156">
        <v>18</v>
      </c>
      <c r="E156" t="s">
        <v>38</v>
      </c>
      <c r="F156" t="s">
        <v>39</v>
      </c>
      <c r="G156">
        <v>19</v>
      </c>
      <c r="H156">
        <v>76</v>
      </c>
      <c r="I156" t="s">
        <v>331</v>
      </c>
      <c r="J156">
        <v>0</v>
      </c>
      <c r="K156" t="s">
        <v>2</v>
      </c>
      <c r="L156" t="s">
        <v>338</v>
      </c>
      <c r="M156" t="str">
        <f>IFERROR(IF(VALUE(tblRace2025[[#This Row],[Position]])=1,"Yes","No"),"No")</f>
        <v>No</v>
      </c>
      <c r="N156" t="str">
        <f>IFERROR(IF(VALUE(tblRace2025[[#This Row],[Position]])&lt;=3,"Yes","No"),"No")</f>
        <v>No</v>
      </c>
      <c r="O156">
        <f>IFERROR(VALUE(tblRace2025[[#This Row],[Starting Grid]])-VALUE(tblRace2025[[#This Row],[Position]]),0)</f>
        <v>4</v>
      </c>
      <c r="P156" t="str">
        <f>IFERROR(IF(AND(VALUE(tblRace2025[[#This Row],[Starting Grid]])=1,VALUE(tblRace2025[[#This Row],[Position]])=1),"Yes","No"),"No")</f>
        <v>No</v>
      </c>
      <c r="Q156" t="str">
        <f>IF(tblRace2025[[#This Row],[Points]]&gt;0,"Yes","No")</f>
        <v>No</v>
      </c>
      <c r="R156">
        <v>2025</v>
      </c>
    </row>
    <row r="157" spans="1:18" x14ac:dyDescent="0.45">
      <c r="A157" t="s">
        <v>317</v>
      </c>
      <c r="B157" t="s">
        <v>122</v>
      </c>
      <c r="C157">
        <f>IFERROR(VALUE(tblRace2025[[#This Row],[Position]]),"")</f>
        <v>16</v>
      </c>
      <c r="D157">
        <v>27</v>
      </c>
      <c r="E157" t="s">
        <v>43</v>
      </c>
      <c r="F157" t="s">
        <v>44</v>
      </c>
      <c r="G157">
        <v>13</v>
      </c>
      <c r="H157">
        <v>76</v>
      </c>
      <c r="I157" t="s">
        <v>331</v>
      </c>
      <c r="J157">
        <v>0</v>
      </c>
      <c r="K157" t="s">
        <v>2</v>
      </c>
      <c r="L157" t="s">
        <v>339</v>
      </c>
      <c r="M157" t="str">
        <f>IFERROR(IF(VALUE(tblRace2025[[#This Row],[Position]])=1,"Yes","No"),"No")</f>
        <v>No</v>
      </c>
      <c r="N157" t="str">
        <f>IFERROR(IF(VALUE(tblRace2025[[#This Row],[Position]])&lt;=3,"Yes","No"),"No")</f>
        <v>No</v>
      </c>
      <c r="O157">
        <f>IFERROR(VALUE(tblRace2025[[#This Row],[Starting Grid]])-VALUE(tblRace2025[[#This Row],[Position]]),0)</f>
        <v>-3</v>
      </c>
      <c r="P157" t="str">
        <f>IFERROR(IF(AND(VALUE(tblRace2025[[#This Row],[Starting Grid]])=1,VALUE(tblRace2025[[#This Row],[Position]])=1),"Yes","No"),"No")</f>
        <v>No</v>
      </c>
      <c r="Q157" t="str">
        <f>IF(tblRace2025[[#This Row],[Points]]&gt;0,"Yes","No")</f>
        <v>No</v>
      </c>
      <c r="R157">
        <v>2025</v>
      </c>
    </row>
    <row r="158" spans="1:18" x14ac:dyDescent="0.45">
      <c r="A158" t="s">
        <v>317</v>
      </c>
      <c r="B158" t="s">
        <v>163</v>
      </c>
      <c r="C158">
        <f>IFERROR(VALUE(tblRace2025[[#This Row],[Position]]),"")</f>
        <v>17</v>
      </c>
      <c r="D158">
        <v>22</v>
      </c>
      <c r="E158" t="s">
        <v>66</v>
      </c>
      <c r="F158" t="s">
        <v>20</v>
      </c>
      <c r="G158">
        <v>12</v>
      </c>
      <c r="H158">
        <v>76</v>
      </c>
      <c r="I158" t="s">
        <v>331</v>
      </c>
      <c r="J158">
        <v>0</v>
      </c>
      <c r="K158" t="s">
        <v>2</v>
      </c>
      <c r="L158" t="s">
        <v>340</v>
      </c>
      <c r="M158" t="str">
        <f>IFERROR(IF(VALUE(tblRace2025[[#This Row],[Position]])=1,"Yes","No"),"No")</f>
        <v>No</v>
      </c>
      <c r="N158" t="str">
        <f>IFERROR(IF(VALUE(tblRace2025[[#This Row],[Position]])&lt;=3,"Yes","No"),"No")</f>
        <v>No</v>
      </c>
      <c r="O158">
        <f>IFERROR(VALUE(tblRace2025[[#This Row],[Starting Grid]])-VALUE(tblRace2025[[#This Row],[Position]]),0)</f>
        <v>-5</v>
      </c>
      <c r="P158" t="str">
        <f>IFERROR(IF(AND(VALUE(tblRace2025[[#This Row],[Starting Grid]])=1,VALUE(tblRace2025[[#This Row],[Position]])=1),"Yes","No"),"No")</f>
        <v>No</v>
      </c>
      <c r="Q158" t="str">
        <f>IF(tblRace2025[[#This Row],[Points]]&gt;0,"Yes","No")</f>
        <v>No</v>
      </c>
      <c r="R158">
        <v>2025</v>
      </c>
    </row>
    <row r="159" spans="1:18" x14ac:dyDescent="0.45">
      <c r="A159" t="s">
        <v>317</v>
      </c>
      <c r="B159" t="s">
        <v>166</v>
      </c>
      <c r="C159">
        <f>IFERROR(VALUE(tblRace2025[[#This Row],[Position]]),"")</f>
        <v>18</v>
      </c>
      <c r="D159">
        <v>12</v>
      </c>
      <c r="E159" t="s">
        <v>29</v>
      </c>
      <c r="F159" t="s">
        <v>25</v>
      </c>
      <c r="G159">
        <v>15</v>
      </c>
      <c r="H159">
        <v>75</v>
      </c>
      <c r="I159" t="s">
        <v>341</v>
      </c>
      <c r="J159">
        <v>0</v>
      </c>
      <c r="K159" t="s">
        <v>2</v>
      </c>
      <c r="L159" t="s">
        <v>342</v>
      </c>
      <c r="M159" t="str">
        <f>IFERROR(IF(VALUE(tblRace2025[[#This Row],[Position]])=1,"Yes","No"),"No")</f>
        <v>No</v>
      </c>
      <c r="N159" t="str">
        <f>IFERROR(IF(VALUE(tblRace2025[[#This Row],[Position]])&lt;=3,"Yes","No"),"No")</f>
        <v>No</v>
      </c>
      <c r="O159">
        <f>IFERROR(VALUE(tblRace2025[[#This Row],[Starting Grid]])-VALUE(tblRace2025[[#This Row],[Position]]),0)</f>
        <v>-3</v>
      </c>
      <c r="P159" t="str">
        <f>IFERROR(IF(AND(VALUE(tblRace2025[[#This Row],[Starting Grid]])=1,VALUE(tblRace2025[[#This Row],[Position]])=1),"Yes","No"),"No")</f>
        <v>No</v>
      </c>
      <c r="Q159" t="str">
        <f>IF(tblRace2025[[#This Row],[Points]]&gt;0,"Yes","No")</f>
        <v>No</v>
      </c>
      <c r="R159">
        <v>2025</v>
      </c>
    </row>
    <row r="160" spans="1:18" x14ac:dyDescent="0.45">
      <c r="A160" t="s">
        <v>317</v>
      </c>
      <c r="B160" t="s">
        <v>79</v>
      </c>
      <c r="C160" t="str">
        <f>IFERROR(VALUE(tblRace2025[[#This Row],[Position]]),"")</f>
        <v/>
      </c>
      <c r="D160">
        <v>14</v>
      </c>
      <c r="E160" t="s">
        <v>85</v>
      </c>
      <c r="F160" t="s">
        <v>39</v>
      </c>
      <c r="G160">
        <v>6</v>
      </c>
      <c r="H160">
        <v>36</v>
      </c>
      <c r="I160" t="s">
        <v>81</v>
      </c>
      <c r="J160">
        <v>0</v>
      </c>
      <c r="K160" t="s">
        <v>2</v>
      </c>
      <c r="L160" t="s">
        <v>343</v>
      </c>
      <c r="M160" t="str">
        <f>IFERROR(IF(VALUE(tblRace2025[[#This Row],[Position]])=1,"Yes","No"),"No")</f>
        <v>No</v>
      </c>
      <c r="N160" t="str">
        <f>IFERROR(IF(VALUE(tblRace2025[[#This Row],[Position]])&lt;=3,"Yes","No"),"No")</f>
        <v>No</v>
      </c>
      <c r="O160">
        <f>IFERROR(VALUE(tblRace2025[[#This Row],[Starting Grid]])-VALUE(tblRace2025[[#This Row],[Position]]),0)</f>
        <v>0</v>
      </c>
      <c r="P160" t="str">
        <f>IFERROR(IF(AND(VALUE(tblRace2025[[#This Row],[Starting Grid]])=1,VALUE(tblRace2025[[#This Row],[Position]])=1),"Yes","No"),"No")</f>
        <v>No</v>
      </c>
      <c r="Q160" t="str">
        <f>IF(tblRace2025[[#This Row],[Points]]&gt;0,"Yes","No")</f>
        <v>No</v>
      </c>
      <c r="R160">
        <v>2025</v>
      </c>
    </row>
    <row r="161" spans="1:18" x14ac:dyDescent="0.45">
      <c r="A161" t="s">
        <v>317</v>
      </c>
      <c r="B161" t="s">
        <v>79</v>
      </c>
      <c r="C161" t="str">
        <f>IFERROR(VALUE(tblRace2025[[#This Row],[Position]]),"")</f>
        <v/>
      </c>
      <c r="D161">
        <v>10</v>
      </c>
      <c r="E161" t="s">
        <v>61</v>
      </c>
      <c r="F161" t="s">
        <v>62</v>
      </c>
      <c r="G161">
        <v>17</v>
      </c>
      <c r="H161">
        <v>7</v>
      </c>
      <c r="I161" t="s">
        <v>81</v>
      </c>
      <c r="J161">
        <v>0</v>
      </c>
      <c r="K161" t="s">
        <v>2</v>
      </c>
      <c r="L161" t="s">
        <v>344</v>
      </c>
      <c r="M161" t="str">
        <f>IFERROR(IF(VALUE(tblRace2025[[#This Row],[Position]])=1,"Yes","No"),"No")</f>
        <v>No</v>
      </c>
      <c r="N161" t="str">
        <f>IFERROR(IF(VALUE(tblRace2025[[#This Row],[Position]])&lt;=3,"Yes","No"),"No")</f>
        <v>No</v>
      </c>
      <c r="O161">
        <f>IFERROR(VALUE(tblRace2025[[#This Row],[Starting Grid]])-VALUE(tblRace2025[[#This Row],[Position]]),0)</f>
        <v>0</v>
      </c>
      <c r="P161" t="str">
        <f>IFERROR(IF(AND(VALUE(tblRace2025[[#This Row],[Starting Grid]])=1,VALUE(tblRace2025[[#This Row],[Position]])=1),"Yes","No"),"No")</f>
        <v>No</v>
      </c>
      <c r="Q161" t="str">
        <f>IF(tblRace2025[[#This Row],[Points]]&gt;0,"Yes","No")</f>
        <v>No</v>
      </c>
      <c r="R161">
        <v>2025</v>
      </c>
    </row>
    <row r="162" spans="1:18" x14ac:dyDescent="0.45">
      <c r="A162" t="s">
        <v>345</v>
      </c>
      <c r="B162" t="s">
        <v>12</v>
      </c>
      <c r="C162">
        <f>IFERROR(VALUE(tblRace2025[[#This Row],[Position]]),"")</f>
        <v>1</v>
      </c>
      <c r="D162">
        <v>81</v>
      </c>
      <c r="E162" t="s">
        <v>53</v>
      </c>
      <c r="F162" t="s">
        <v>14</v>
      </c>
      <c r="G162">
        <v>1</v>
      </c>
      <c r="H162">
        <v>66</v>
      </c>
      <c r="I162" t="s">
        <v>346</v>
      </c>
      <c r="J162">
        <v>25</v>
      </c>
      <c r="K162" t="s">
        <v>16</v>
      </c>
      <c r="L162" t="s">
        <v>347</v>
      </c>
      <c r="M162" t="str">
        <f>IFERROR(IF(VALUE(tblRace2025[[#This Row],[Position]])=1,"Yes","No"),"No")</f>
        <v>Yes</v>
      </c>
      <c r="N162" t="str">
        <f>IFERROR(IF(VALUE(tblRace2025[[#This Row],[Position]])&lt;=3,"Yes","No"),"No")</f>
        <v>Yes</v>
      </c>
      <c r="O162">
        <f>IFERROR(VALUE(tblRace2025[[#This Row],[Starting Grid]])-VALUE(tblRace2025[[#This Row],[Position]]),0)</f>
        <v>0</v>
      </c>
      <c r="P162" t="str">
        <f>IFERROR(IF(AND(VALUE(tblRace2025[[#This Row],[Starting Grid]])=1,VALUE(tblRace2025[[#This Row],[Position]])=1),"Yes","No"),"No")</f>
        <v>Yes</v>
      </c>
      <c r="Q162" t="str">
        <f>IF(tblRace2025[[#This Row],[Points]]&gt;0,"Yes","No")</f>
        <v>Yes</v>
      </c>
      <c r="R162">
        <v>2025</v>
      </c>
    </row>
    <row r="163" spans="1:18" x14ac:dyDescent="0.45">
      <c r="A163" t="s">
        <v>345</v>
      </c>
      <c r="B163" t="s">
        <v>18</v>
      </c>
      <c r="C163">
        <f>IFERROR(VALUE(tblRace2025[[#This Row],[Position]]),"")</f>
        <v>2</v>
      </c>
      <c r="D163">
        <v>4</v>
      </c>
      <c r="E163" t="s">
        <v>13</v>
      </c>
      <c r="F163" t="s">
        <v>14</v>
      </c>
      <c r="G163">
        <v>2</v>
      </c>
      <c r="H163">
        <v>66</v>
      </c>
      <c r="I163" t="s">
        <v>348</v>
      </c>
      <c r="J163">
        <v>18</v>
      </c>
      <c r="K163" t="s">
        <v>2</v>
      </c>
      <c r="L163" t="s">
        <v>349</v>
      </c>
      <c r="M163" t="str">
        <f>IFERROR(IF(VALUE(tblRace2025[[#This Row],[Position]])=1,"Yes","No"),"No")</f>
        <v>No</v>
      </c>
      <c r="N163" t="str">
        <f>IFERROR(IF(VALUE(tblRace2025[[#This Row],[Position]])&lt;=3,"Yes","No"),"No")</f>
        <v>Yes</v>
      </c>
      <c r="O163">
        <f>IFERROR(VALUE(tblRace2025[[#This Row],[Starting Grid]])-VALUE(tblRace2025[[#This Row],[Position]]),0)</f>
        <v>0</v>
      </c>
      <c r="P163" t="str">
        <f>IFERROR(IF(AND(VALUE(tblRace2025[[#This Row],[Starting Grid]])=1,VALUE(tblRace2025[[#This Row],[Position]])=1),"Yes","No"),"No")</f>
        <v>No</v>
      </c>
      <c r="Q163" t="str">
        <f>IF(tblRace2025[[#This Row],[Points]]&gt;0,"Yes","No")</f>
        <v>Yes</v>
      </c>
      <c r="R163">
        <v>2025</v>
      </c>
    </row>
    <row r="164" spans="1:18" x14ac:dyDescent="0.45">
      <c r="A164" t="s">
        <v>345</v>
      </c>
      <c r="B164" t="s">
        <v>23</v>
      </c>
      <c r="C164">
        <f>IFERROR(VALUE(tblRace2025[[#This Row],[Position]]),"")</f>
        <v>3</v>
      </c>
      <c r="D164">
        <v>16</v>
      </c>
      <c r="E164" t="s">
        <v>48</v>
      </c>
      <c r="F164" t="s">
        <v>49</v>
      </c>
      <c r="G164">
        <v>7</v>
      </c>
      <c r="H164">
        <v>66</v>
      </c>
      <c r="I164" t="s">
        <v>350</v>
      </c>
      <c r="J164">
        <v>15</v>
      </c>
      <c r="K164" t="s">
        <v>2</v>
      </c>
      <c r="L164" t="s">
        <v>351</v>
      </c>
      <c r="M164" t="str">
        <f>IFERROR(IF(VALUE(tblRace2025[[#This Row],[Position]])=1,"Yes","No"),"No")</f>
        <v>No</v>
      </c>
      <c r="N164" t="str">
        <f>IFERROR(IF(VALUE(tblRace2025[[#This Row],[Position]])&lt;=3,"Yes","No"),"No")</f>
        <v>Yes</v>
      </c>
      <c r="O164">
        <f>IFERROR(VALUE(tblRace2025[[#This Row],[Starting Grid]])-VALUE(tblRace2025[[#This Row],[Position]]),0)</f>
        <v>4</v>
      </c>
      <c r="P164" t="str">
        <f>IFERROR(IF(AND(VALUE(tblRace2025[[#This Row],[Starting Grid]])=1,VALUE(tblRace2025[[#This Row],[Position]])=1),"Yes","No"),"No")</f>
        <v>No</v>
      </c>
      <c r="Q164" t="str">
        <f>IF(tblRace2025[[#This Row],[Points]]&gt;0,"Yes","No")</f>
        <v>Yes</v>
      </c>
      <c r="R164">
        <v>2025</v>
      </c>
    </row>
    <row r="165" spans="1:18" x14ac:dyDescent="0.45">
      <c r="A165" t="s">
        <v>345</v>
      </c>
      <c r="B165" t="s">
        <v>28</v>
      </c>
      <c r="C165">
        <f>IFERROR(VALUE(tblRace2025[[#This Row],[Position]]),"")</f>
        <v>4</v>
      </c>
      <c r="D165">
        <v>63</v>
      </c>
      <c r="E165" t="s">
        <v>24</v>
      </c>
      <c r="F165" t="s">
        <v>25</v>
      </c>
      <c r="G165">
        <v>4</v>
      </c>
      <c r="H165">
        <v>66</v>
      </c>
      <c r="I165" t="s">
        <v>352</v>
      </c>
      <c r="J165">
        <v>12</v>
      </c>
      <c r="K165" t="s">
        <v>2</v>
      </c>
      <c r="L165" t="s">
        <v>353</v>
      </c>
      <c r="M165" t="str">
        <f>IFERROR(IF(VALUE(tblRace2025[[#This Row],[Position]])=1,"Yes","No"),"No")</f>
        <v>No</v>
      </c>
      <c r="N165" t="str">
        <f>IFERROR(IF(VALUE(tblRace2025[[#This Row],[Position]])&lt;=3,"Yes","No"),"No")</f>
        <v>No</v>
      </c>
      <c r="O165">
        <f>IFERROR(VALUE(tblRace2025[[#This Row],[Starting Grid]])-VALUE(tblRace2025[[#This Row],[Position]]),0)</f>
        <v>0</v>
      </c>
      <c r="P165" t="str">
        <f>IFERROR(IF(AND(VALUE(tblRace2025[[#This Row],[Starting Grid]])=1,VALUE(tblRace2025[[#This Row],[Position]])=1),"Yes","No"),"No")</f>
        <v>No</v>
      </c>
      <c r="Q165" t="str">
        <f>IF(tblRace2025[[#This Row],[Points]]&gt;0,"Yes","No")</f>
        <v>Yes</v>
      </c>
      <c r="R165">
        <v>2025</v>
      </c>
    </row>
    <row r="166" spans="1:18" x14ac:dyDescent="0.45">
      <c r="A166" t="s">
        <v>345</v>
      </c>
      <c r="B166" t="s">
        <v>32</v>
      </c>
      <c r="C166">
        <f>IFERROR(VALUE(tblRace2025[[#This Row],[Position]]),"")</f>
        <v>5</v>
      </c>
      <c r="D166">
        <v>27</v>
      </c>
      <c r="E166" t="s">
        <v>43</v>
      </c>
      <c r="F166" t="s">
        <v>44</v>
      </c>
      <c r="G166">
        <v>15</v>
      </c>
      <c r="H166">
        <v>66</v>
      </c>
      <c r="I166" t="s">
        <v>354</v>
      </c>
      <c r="J166">
        <v>10</v>
      </c>
      <c r="K166" t="s">
        <v>2</v>
      </c>
      <c r="L166" t="s">
        <v>355</v>
      </c>
      <c r="M166" t="str">
        <f>IFERROR(IF(VALUE(tblRace2025[[#This Row],[Position]])=1,"Yes","No"),"No")</f>
        <v>No</v>
      </c>
      <c r="N166" t="str">
        <f>IFERROR(IF(VALUE(tblRace2025[[#This Row],[Position]])&lt;=3,"Yes","No"),"No")</f>
        <v>No</v>
      </c>
      <c r="O166">
        <f>IFERROR(VALUE(tblRace2025[[#This Row],[Starting Grid]])-VALUE(tblRace2025[[#This Row],[Position]]),0)</f>
        <v>10</v>
      </c>
      <c r="P166" t="str">
        <f>IFERROR(IF(AND(VALUE(tblRace2025[[#This Row],[Starting Grid]])=1,VALUE(tblRace2025[[#This Row],[Position]])=1),"Yes","No"),"No")</f>
        <v>No</v>
      </c>
      <c r="Q166" t="str">
        <f>IF(tblRace2025[[#This Row],[Points]]&gt;0,"Yes","No")</f>
        <v>Yes</v>
      </c>
      <c r="R166">
        <v>2025</v>
      </c>
    </row>
    <row r="167" spans="1:18" x14ac:dyDescent="0.45">
      <c r="A167" t="s">
        <v>345</v>
      </c>
      <c r="B167" t="s">
        <v>37</v>
      </c>
      <c r="C167">
        <f>IFERROR(VALUE(tblRace2025[[#This Row],[Position]]),"")</f>
        <v>6</v>
      </c>
      <c r="D167">
        <v>44</v>
      </c>
      <c r="E167" t="s">
        <v>57</v>
      </c>
      <c r="F167" t="s">
        <v>49</v>
      </c>
      <c r="G167">
        <v>5</v>
      </c>
      <c r="H167">
        <v>66</v>
      </c>
      <c r="I167" t="s">
        <v>356</v>
      </c>
      <c r="J167">
        <v>8</v>
      </c>
      <c r="K167" t="s">
        <v>2</v>
      </c>
      <c r="L167" t="s">
        <v>357</v>
      </c>
      <c r="M167" t="str">
        <f>IFERROR(IF(VALUE(tblRace2025[[#This Row],[Position]])=1,"Yes","No"),"No")</f>
        <v>No</v>
      </c>
      <c r="N167" t="str">
        <f>IFERROR(IF(VALUE(tblRace2025[[#This Row],[Position]])&lt;=3,"Yes","No"),"No")</f>
        <v>No</v>
      </c>
      <c r="O167">
        <f>IFERROR(VALUE(tblRace2025[[#This Row],[Starting Grid]])-VALUE(tblRace2025[[#This Row],[Position]]),0)</f>
        <v>-1</v>
      </c>
      <c r="P167" t="str">
        <f>IFERROR(IF(AND(VALUE(tblRace2025[[#This Row],[Starting Grid]])=1,VALUE(tblRace2025[[#This Row],[Position]])=1),"Yes","No"),"No")</f>
        <v>No</v>
      </c>
      <c r="Q167" t="str">
        <f>IF(tblRace2025[[#This Row],[Points]]&gt;0,"Yes","No")</f>
        <v>Yes</v>
      </c>
      <c r="R167">
        <v>2025</v>
      </c>
    </row>
    <row r="168" spans="1:18" x14ac:dyDescent="0.45">
      <c r="A168" t="s">
        <v>345</v>
      </c>
      <c r="B168" t="s">
        <v>42</v>
      </c>
      <c r="C168">
        <f>IFERROR(VALUE(tblRace2025[[#This Row],[Position]]),"")</f>
        <v>7</v>
      </c>
      <c r="D168">
        <v>6</v>
      </c>
      <c r="E168" t="s">
        <v>90</v>
      </c>
      <c r="F168" t="s">
        <v>67</v>
      </c>
      <c r="G168">
        <v>9</v>
      </c>
      <c r="H168">
        <v>66</v>
      </c>
      <c r="I168" t="s">
        <v>358</v>
      </c>
      <c r="J168">
        <v>6</v>
      </c>
      <c r="K168" t="s">
        <v>2</v>
      </c>
      <c r="L168" t="s">
        <v>359</v>
      </c>
      <c r="M168" t="str">
        <f>IFERROR(IF(VALUE(tblRace2025[[#This Row],[Position]])=1,"Yes","No"),"No")</f>
        <v>No</v>
      </c>
      <c r="N168" t="str">
        <f>IFERROR(IF(VALUE(tblRace2025[[#This Row],[Position]])&lt;=3,"Yes","No"),"No")</f>
        <v>No</v>
      </c>
      <c r="O168">
        <f>IFERROR(VALUE(tblRace2025[[#This Row],[Starting Grid]])-VALUE(tblRace2025[[#This Row],[Position]]),0)</f>
        <v>2</v>
      </c>
      <c r="P168" t="str">
        <f>IFERROR(IF(AND(VALUE(tblRace2025[[#This Row],[Starting Grid]])=1,VALUE(tblRace2025[[#This Row],[Position]])=1),"Yes","No"),"No")</f>
        <v>No</v>
      </c>
      <c r="Q168" t="str">
        <f>IF(tblRace2025[[#This Row],[Points]]&gt;0,"Yes","No")</f>
        <v>Yes</v>
      </c>
      <c r="R168">
        <v>2025</v>
      </c>
    </row>
    <row r="169" spans="1:18" x14ac:dyDescent="0.45">
      <c r="A169" t="s">
        <v>345</v>
      </c>
      <c r="B169" t="s">
        <v>47</v>
      </c>
      <c r="C169">
        <f>IFERROR(VALUE(tblRace2025[[#This Row],[Position]]),"")</f>
        <v>8</v>
      </c>
      <c r="D169">
        <v>10</v>
      </c>
      <c r="E169" t="s">
        <v>61</v>
      </c>
      <c r="F169" t="s">
        <v>62</v>
      </c>
      <c r="G169">
        <v>8</v>
      </c>
      <c r="H169">
        <v>66</v>
      </c>
      <c r="I169" t="s">
        <v>360</v>
      </c>
      <c r="J169">
        <v>4</v>
      </c>
      <c r="K169" t="s">
        <v>2</v>
      </c>
      <c r="L169" t="s">
        <v>361</v>
      </c>
      <c r="M169" t="str">
        <f>IFERROR(IF(VALUE(tblRace2025[[#This Row],[Position]])=1,"Yes","No"),"No")</f>
        <v>No</v>
      </c>
      <c r="N169" t="str">
        <f>IFERROR(IF(VALUE(tblRace2025[[#This Row],[Position]])&lt;=3,"Yes","No"),"No")</f>
        <v>No</v>
      </c>
      <c r="O169">
        <f>IFERROR(VALUE(tblRace2025[[#This Row],[Starting Grid]])-VALUE(tblRace2025[[#This Row],[Position]]),0)</f>
        <v>0</v>
      </c>
      <c r="P169" t="str">
        <f>IFERROR(IF(AND(VALUE(tblRace2025[[#This Row],[Starting Grid]])=1,VALUE(tblRace2025[[#This Row],[Position]])=1),"Yes","No"),"No")</f>
        <v>No</v>
      </c>
      <c r="Q169" t="str">
        <f>IF(tblRace2025[[#This Row],[Points]]&gt;0,"Yes","No")</f>
        <v>Yes</v>
      </c>
      <c r="R169">
        <v>2025</v>
      </c>
    </row>
    <row r="170" spans="1:18" x14ac:dyDescent="0.45">
      <c r="A170" t="s">
        <v>345</v>
      </c>
      <c r="B170" t="s">
        <v>52</v>
      </c>
      <c r="C170">
        <f>IFERROR(VALUE(tblRace2025[[#This Row],[Position]]),"")</f>
        <v>9</v>
      </c>
      <c r="D170">
        <v>14</v>
      </c>
      <c r="E170" t="s">
        <v>85</v>
      </c>
      <c r="F170" t="s">
        <v>39</v>
      </c>
      <c r="G170">
        <v>10</v>
      </c>
      <c r="H170">
        <v>66</v>
      </c>
      <c r="I170" t="s">
        <v>362</v>
      </c>
      <c r="J170">
        <v>2</v>
      </c>
      <c r="K170" t="s">
        <v>2</v>
      </c>
      <c r="L170" t="s">
        <v>363</v>
      </c>
      <c r="M170" t="str">
        <f>IFERROR(IF(VALUE(tblRace2025[[#This Row],[Position]])=1,"Yes","No"),"No")</f>
        <v>No</v>
      </c>
      <c r="N170" t="str">
        <f>IFERROR(IF(VALUE(tblRace2025[[#This Row],[Position]])&lt;=3,"Yes","No"),"No")</f>
        <v>No</v>
      </c>
      <c r="O170">
        <f>IFERROR(VALUE(tblRace2025[[#This Row],[Starting Grid]])-VALUE(tblRace2025[[#This Row],[Position]]),0)</f>
        <v>1</v>
      </c>
      <c r="P170" t="str">
        <f>IFERROR(IF(AND(VALUE(tblRace2025[[#This Row],[Starting Grid]])=1,VALUE(tblRace2025[[#This Row],[Position]])=1),"Yes","No"),"No")</f>
        <v>No</v>
      </c>
      <c r="Q170" t="str">
        <f>IF(tblRace2025[[#This Row],[Points]]&gt;0,"Yes","No")</f>
        <v>Yes</v>
      </c>
      <c r="R170">
        <v>2025</v>
      </c>
    </row>
    <row r="171" spans="1:18" x14ac:dyDescent="0.45">
      <c r="A171" t="s">
        <v>345</v>
      </c>
      <c r="B171" t="s">
        <v>56</v>
      </c>
      <c r="C171">
        <f>IFERROR(VALUE(tblRace2025[[#This Row],[Position]]),"")</f>
        <v>10</v>
      </c>
      <c r="D171">
        <v>1</v>
      </c>
      <c r="E171" t="s">
        <v>19</v>
      </c>
      <c r="F171" t="s">
        <v>20</v>
      </c>
      <c r="G171">
        <v>3</v>
      </c>
      <c r="H171">
        <v>66</v>
      </c>
      <c r="I171" t="s">
        <v>364</v>
      </c>
      <c r="J171">
        <v>1</v>
      </c>
      <c r="K171" t="s">
        <v>2</v>
      </c>
      <c r="L171" t="s">
        <v>365</v>
      </c>
      <c r="M171" t="str">
        <f>IFERROR(IF(VALUE(tblRace2025[[#This Row],[Position]])=1,"Yes","No"),"No")</f>
        <v>No</v>
      </c>
      <c r="N171" t="str">
        <f>IFERROR(IF(VALUE(tblRace2025[[#This Row],[Position]])&lt;=3,"Yes","No"),"No")</f>
        <v>No</v>
      </c>
      <c r="O171">
        <f>IFERROR(VALUE(tblRace2025[[#This Row],[Starting Grid]])-VALUE(tblRace2025[[#This Row],[Position]]),0)</f>
        <v>-7</v>
      </c>
      <c r="P171" t="str">
        <f>IFERROR(IF(AND(VALUE(tblRace2025[[#This Row],[Starting Grid]])=1,VALUE(tblRace2025[[#This Row],[Position]])=1),"Yes","No"),"No")</f>
        <v>No</v>
      </c>
      <c r="Q171" t="str">
        <f>IF(tblRace2025[[#This Row],[Points]]&gt;0,"Yes","No")</f>
        <v>Yes</v>
      </c>
      <c r="R171">
        <v>2025</v>
      </c>
    </row>
    <row r="172" spans="1:18" x14ac:dyDescent="0.45">
      <c r="A172" t="s">
        <v>345</v>
      </c>
      <c r="B172" t="s">
        <v>60</v>
      </c>
      <c r="C172">
        <f>IFERROR(VALUE(tblRace2025[[#This Row],[Position]]),"")</f>
        <v>11</v>
      </c>
      <c r="D172">
        <v>30</v>
      </c>
      <c r="E172" t="s">
        <v>80</v>
      </c>
      <c r="F172" t="s">
        <v>67</v>
      </c>
      <c r="G172">
        <v>13</v>
      </c>
      <c r="H172">
        <v>66</v>
      </c>
      <c r="I172" t="s">
        <v>366</v>
      </c>
      <c r="J172">
        <v>0</v>
      </c>
      <c r="K172" t="s">
        <v>2</v>
      </c>
      <c r="L172" t="s">
        <v>367</v>
      </c>
      <c r="M172" t="str">
        <f>IFERROR(IF(VALUE(tblRace2025[[#This Row],[Position]])=1,"Yes","No"),"No")</f>
        <v>No</v>
      </c>
      <c r="N172" t="str">
        <f>IFERROR(IF(VALUE(tblRace2025[[#This Row],[Position]])&lt;=3,"Yes","No"),"No")</f>
        <v>No</v>
      </c>
      <c r="O172">
        <f>IFERROR(VALUE(tblRace2025[[#This Row],[Starting Grid]])-VALUE(tblRace2025[[#This Row],[Position]]),0)</f>
        <v>2</v>
      </c>
      <c r="P172" t="str">
        <f>IFERROR(IF(AND(VALUE(tblRace2025[[#This Row],[Starting Grid]])=1,VALUE(tblRace2025[[#This Row],[Position]])=1),"Yes","No"),"No")</f>
        <v>No</v>
      </c>
      <c r="Q172" t="str">
        <f>IF(tblRace2025[[#This Row],[Points]]&gt;0,"Yes","No")</f>
        <v>No</v>
      </c>
      <c r="R172">
        <v>2025</v>
      </c>
    </row>
    <row r="173" spans="1:18" x14ac:dyDescent="0.45">
      <c r="A173" t="s">
        <v>345</v>
      </c>
      <c r="B173" t="s">
        <v>65</v>
      </c>
      <c r="C173">
        <f>IFERROR(VALUE(tblRace2025[[#This Row],[Position]]),"")</f>
        <v>12</v>
      </c>
      <c r="D173">
        <v>5</v>
      </c>
      <c r="E173" t="s">
        <v>83</v>
      </c>
      <c r="F173" t="s">
        <v>44</v>
      </c>
      <c r="G173">
        <v>12</v>
      </c>
      <c r="H173">
        <v>66</v>
      </c>
      <c r="I173" t="s">
        <v>368</v>
      </c>
      <c r="J173">
        <v>0</v>
      </c>
      <c r="K173" t="s">
        <v>2</v>
      </c>
      <c r="L173" t="s">
        <v>369</v>
      </c>
      <c r="M173" t="str">
        <f>IFERROR(IF(VALUE(tblRace2025[[#This Row],[Position]])=1,"Yes","No"),"No")</f>
        <v>No</v>
      </c>
      <c r="N173" t="str">
        <f>IFERROR(IF(VALUE(tblRace2025[[#This Row],[Position]])&lt;=3,"Yes","No"),"No")</f>
        <v>No</v>
      </c>
      <c r="O173">
        <f>IFERROR(VALUE(tblRace2025[[#This Row],[Starting Grid]])-VALUE(tblRace2025[[#This Row],[Position]]),0)</f>
        <v>0</v>
      </c>
      <c r="P173" t="str">
        <f>IFERROR(IF(AND(VALUE(tblRace2025[[#This Row],[Starting Grid]])=1,VALUE(tblRace2025[[#This Row],[Position]])=1),"Yes","No"),"No")</f>
        <v>No</v>
      </c>
      <c r="Q173" t="str">
        <f>IF(tblRace2025[[#This Row],[Points]]&gt;0,"Yes","No")</f>
        <v>No</v>
      </c>
      <c r="R173">
        <v>2025</v>
      </c>
    </row>
    <row r="174" spans="1:18" x14ac:dyDescent="0.45">
      <c r="A174" t="s">
        <v>345</v>
      </c>
      <c r="B174" t="s">
        <v>70</v>
      </c>
      <c r="C174">
        <f>IFERROR(VALUE(tblRace2025[[#This Row],[Position]]),"")</f>
        <v>13</v>
      </c>
      <c r="D174">
        <v>22</v>
      </c>
      <c r="E174" t="s">
        <v>66</v>
      </c>
      <c r="F174" t="s">
        <v>20</v>
      </c>
      <c r="G174">
        <v>19</v>
      </c>
      <c r="H174">
        <v>66</v>
      </c>
      <c r="I174" t="s">
        <v>370</v>
      </c>
      <c r="J174">
        <v>0</v>
      </c>
      <c r="K174" t="s">
        <v>2</v>
      </c>
      <c r="L174" t="s">
        <v>371</v>
      </c>
      <c r="M174" t="str">
        <f>IFERROR(IF(VALUE(tblRace2025[[#This Row],[Position]])=1,"Yes","No"),"No")</f>
        <v>No</v>
      </c>
      <c r="N174" t="str">
        <f>IFERROR(IF(VALUE(tblRace2025[[#This Row],[Position]])&lt;=3,"Yes","No"),"No")</f>
        <v>No</v>
      </c>
      <c r="O174">
        <f>IFERROR(VALUE(tblRace2025[[#This Row],[Starting Grid]])-VALUE(tblRace2025[[#This Row],[Position]]),0)</f>
        <v>6</v>
      </c>
      <c r="P174" t="str">
        <f>IFERROR(IF(AND(VALUE(tblRace2025[[#This Row],[Starting Grid]])=1,VALUE(tblRace2025[[#This Row],[Position]])=1),"Yes","No"),"No")</f>
        <v>No</v>
      </c>
      <c r="Q174" t="str">
        <f>IF(tblRace2025[[#This Row],[Points]]&gt;0,"Yes","No")</f>
        <v>No</v>
      </c>
      <c r="R174">
        <v>2025</v>
      </c>
    </row>
    <row r="175" spans="1:18" x14ac:dyDescent="0.45">
      <c r="A175" t="s">
        <v>345</v>
      </c>
      <c r="B175" t="s">
        <v>75</v>
      </c>
      <c r="C175">
        <f>IFERROR(VALUE(tblRace2025[[#This Row],[Position]]),"")</f>
        <v>14</v>
      </c>
      <c r="D175">
        <v>55</v>
      </c>
      <c r="E175" t="s">
        <v>87</v>
      </c>
      <c r="F175" t="s">
        <v>34</v>
      </c>
      <c r="G175">
        <v>17</v>
      </c>
      <c r="H175">
        <v>66</v>
      </c>
      <c r="I175" t="s">
        <v>372</v>
      </c>
      <c r="J175">
        <v>0</v>
      </c>
      <c r="K175" t="s">
        <v>2</v>
      </c>
      <c r="L175" t="s">
        <v>373</v>
      </c>
      <c r="M175" t="str">
        <f>IFERROR(IF(VALUE(tblRace2025[[#This Row],[Position]])=1,"Yes","No"),"No")</f>
        <v>No</v>
      </c>
      <c r="N175" t="str">
        <f>IFERROR(IF(VALUE(tblRace2025[[#This Row],[Position]])&lt;=3,"Yes","No"),"No")</f>
        <v>No</v>
      </c>
      <c r="O175">
        <f>IFERROR(VALUE(tblRace2025[[#This Row],[Starting Grid]])-VALUE(tblRace2025[[#This Row],[Position]]),0)</f>
        <v>3</v>
      </c>
      <c r="P175" t="str">
        <f>IFERROR(IF(AND(VALUE(tblRace2025[[#This Row],[Starting Grid]])=1,VALUE(tblRace2025[[#This Row],[Position]])=1),"Yes","No"),"No")</f>
        <v>No</v>
      </c>
      <c r="Q175" t="str">
        <f>IF(tblRace2025[[#This Row],[Points]]&gt;0,"Yes","No")</f>
        <v>No</v>
      </c>
      <c r="R175">
        <v>2025</v>
      </c>
    </row>
    <row r="176" spans="1:18" x14ac:dyDescent="0.45">
      <c r="A176" t="s">
        <v>345</v>
      </c>
      <c r="B176" t="s">
        <v>120</v>
      </c>
      <c r="C176">
        <f>IFERROR(VALUE(tblRace2025[[#This Row],[Position]]),"")</f>
        <v>15</v>
      </c>
      <c r="D176">
        <v>43</v>
      </c>
      <c r="E176" t="s">
        <v>308</v>
      </c>
      <c r="F176" t="s">
        <v>62</v>
      </c>
      <c r="G176">
        <v>18</v>
      </c>
      <c r="H176">
        <v>66</v>
      </c>
      <c r="I176" t="s">
        <v>374</v>
      </c>
      <c r="J176">
        <v>0</v>
      </c>
      <c r="K176" t="s">
        <v>2</v>
      </c>
      <c r="L176" t="s">
        <v>375</v>
      </c>
      <c r="M176" t="str">
        <f>IFERROR(IF(VALUE(tblRace2025[[#This Row],[Position]])=1,"Yes","No"),"No")</f>
        <v>No</v>
      </c>
      <c r="N176" t="str">
        <f>IFERROR(IF(VALUE(tblRace2025[[#This Row],[Position]])&lt;=3,"Yes","No"),"No")</f>
        <v>No</v>
      </c>
      <c r="O176">
        <f>IFERROR(VALUE(tblRace2025[[#This Row],[Starting Grid]])-VALUE(tblRace2025[[#This Row],[Position]]),0)</f>
        <v>3</v>
      </c>
      <c r="P176" t="str">
        <f>IFERROR(IF(AND(VALUE(tblRace2025[[#This Row],[Starting Grid]])=1,VALUE(tblRace2025[[#This Row],[Position]])=1),"Yes","No"),"No")</f>
        <v>No</v>
      </c>
      <c r="Q176" t="str">
        <f>IF(tblRace2025[[#This Row],[Points]]&gt;0,"Yes","No")</f>
        <v>No</v>
      </c>
      <c r="R176">
        <v>2025</v>
      </c>
    </row>
    <row r="177" spans="1:18" x14ac:dyDescent="0.45">
      <c r="A177" t="s">
        <v>345</v>
      </c>
      <c r="B177" t="s">
        <v>122</v>
      </c>
      <c r="C177">
        <f>IFERROR(VALUE(tblRace2025[[#This Row],[Position]]),"")</f>
        <v>16</v>
      </c>
      <c r="D177">
        <v>31</v>
      </c>
      <c r="E177" t="s">
        <v>71</v>
      </c>
      <c r="F177" t="s">
        <v>72</v>
      </c>
      <c r="G177">
        <v>16</v>
      </c>
      <c r="H177">
        <v>66</v>
      </c>
      <c r="I177" t="s">
        <v>376</v>
      </c>
      <c r="J177">
        <v>0</v>
      </c>
      <c r="K177" t="s">
        <v>2</v>
      </c>
      <c r="L177" t="s">
        <v>377</v>
      </c>
      <c r="M177" t="str">
        <f>IFERROR(IF(VALUE(tblRace2025[[#This Row],[Position]])=1,"Yes","No"),"No")</f>
        <v>No</v>
      </c>
      <c r="N177" t="str">
        <f>IFERROR(IF(VALUE(tblRace2025[[#This Row],[Position]])&lt;=3,"Yes","No"),"No")</f>
        <v>No</v>
      </c>
      <c r="O177">
        <f>IFERROR(VALUE(tblRace2025[[#This Row],[Starting Grid]])-VALUE(tblRace2025[[#This Row],[Position]]),0)</f>
        <v>0</v>
      </c>
      <c r="P177" t="str">
        <f>IFERROR(IF(AND(VALUE(tblRace2025[[#This Row],[Starting Grid]])=1,VALUE(tblRace2025[[#This Row],[Position]])=1),"Yes","No"),"No")</f>
        <v>No</v>
      </c>
      <c r="Q177" t="str">
        <f>IF(tblRace2025[[#This Row],[Points]]&gt;0,"Yes","No")</f>
        <v>No</v>
      </c>
      <c r="R177">
        <v>2025</v>
      </c>
    </row>
    <row r="178" spans="1:18" x14ac:dyDescent="0.45">
      <c r="A178" t="s">
        <v>345</v>
      </c>
      <c r="B178" t="s">
        <v>163</v>
      </c>
      <c r="C178">
        <f>IFERROR(VALUE(tblRace2025[[#This Row],[Position]]),"")</f>
        <v>17</v>
      </c>
      <c r="D178">
        <v>87</v>
      </c>
      <c r="E178" t="s">
        <v>76</v>
      </c>
      <c r="F178" t="s">
        <v>72</v>
      </c>
      <c r="G178">
        <v>14</v>
      </c>
      <c r="H178">
        <v>66</v>
      </c>
      <c r="I178" t="s">
        <v>378</v>
      </c>
      <c r="J178">
        <v>0</v>
      </c>
      <c r="K178" t="s">
        <v>2</v>
      </c>
      <c r="L178" t="s">
        <v>379</v>
      </c>
      <c r="M178" t="str">
        <f>IFERROR(IF(VALUE(tblRace2025[[#This Row],[Position]])=1,"Yes","No"),"No")</f>
        <v>No</v>
      </c>
      <c r="N178" t="str">
        <f>IFERROR(IF(VALUE(tblRace2025[[#This Row],[Position]])&lt;=3,"Yes","No"),"No")</f>
        <v>No</v>
      </c>
      <c r="O178">
        <f>IFERROR(VALUE(tblRace2025[[#This Row],[Starting Grid]])-VALUE(tblRace2025[[#This Row],[Position]]),0)</f>
        <v>-3</v>
      </c>
      <c r="P178" t="str">
        <f>IFERROR(IF(AND(VALUE(tblRace2025[[#This Row],[Starting Grid]])=1,VALUE(tblRace2025[[#This Row],[Position]])=1),"Yes","No"),"No")</f>
        <v>No</v>
      </c>
      <c r="Q178" t="str">
        <f>IF(tblRace2025[[#This Row],[Points]]&gt;0,"Yes","No")</f>
        <v>No</v>
      </c>
      <c r="R178">
        <v>2025</v>
      </c>
    </row>
    <row r="179" spans="1:18" x14ac:dyDescent="0.45">
      <c r="A179" t="s">
        <v>345</v>
      </c>
      <c r="B179" t="s">
        <v>79</v>
      </c>
      <c r="C179" t="str">
        <f>IFERROR(VALUE(tblRace2025[[#This Row],[Position]]),"")</f>
        <v/>
      </c>
      <c r="D179">
        <v>12</v>
      </c>
      <c r="E179" t="s">
        <v>29</v>
      </c>
      <c r="F179" t="s">
        <v>25</v>
      </c>
      <c r="G179">
        <v>6</v>
      </c>
      <c r="H179">
        <v>53</v>
      </c>
      <c r="I179" t="s">
        <v>81</v>
      </c>
      <c r="J179">
        <v>0</v>
      </c>
      <c r="K179" t="s">
        <v>2</v>
      </c>
      <c r="L179" t="s">
        <v>380</v>
      </c>
      <c r="M179" t="str">
        <f>IFERROR(IF(VALUE(tblRace2025[[#This Row],[Position]])=1,"Yes","No"),"No")</f>
        <v>No</v>
      </c>
      <c r="N179" t="str">
        <f>IFERROR(IF(VALUE(tblRace2025[[#This Row],[Position]])&lt;=3,"Yes","No"),"No")</f>
        <v>No</v>
      </c>
      <c r="O179">
        <f>IFERROR(VALUE(tblRace2025[[#This Row],[Starting Grid]])-VALUE(tblRace2025[[#This Row],[Position]]),0)</f>
        <v>0</v>
      </c>
      <c r="P179" t="str">
        <f>IFERROR(IF(AND(VALUE(tblRace2025[[#This Row],[Starting Grid]])=1,VALUE(tblRace2025[[#This Row],[Position]])=1),"Yes","No"),"No")</f>
        <v>No</v>
      </c>
      <c r="Q179" t="str">
        <f>IF(tblRace2025[[#This Row],[Points]]&gt;0,"Yes","No")</f>
        <v>No</v>
      </c>
      <c r="R179">
        <v>2025</v>
      </c>
    </row>
    <row r="180" spans="1:18" x14ac:dyDescent="0.45">
      <c r="A180" t="s">
        <v>345</v>
      </c>
      <c r="B180" t="s">
        <v>79</v>
      </c>
      <c r="C180" t="str">
        <f>IFERROR(VALUE(tblRace2025[[#This Row],[Position]]),"")</f>
        <v/>
      </c>
      <c r="D180">
        <v>23</v>
      </c>
      <c r="E180" t="s">
        <v>33</v>
      </c>
      <c r="F180" t="s">
        <v>34</v>
      </c>
      <c r="G180">
        <v>11</v>
      </c>
      <c r="H180">
        <v>27</v>
      </c>
      <c r="I180" t="s">
        <v>81</v>
      </c>
      <c r="J180">
        <v>0</v>
      </c>
      <c r="K180" t="s">
        <v>2</v>
      </c>
      <c r="L180" t="s">
        <v>381</v>
      </c>
      <c r="M180" t="str">
        <f>IFERROR(IF(VALUE(tblRace2025[[#This Row],[Position]])=1,"Yes","No"),"No")</f>
        <v>No</v>
      </c>
      <c r="N180" t="str">
        <f>IFERROR(IF(VALUE(tblRace2025[[#This Row],[Position]])&lt;=3,"Yes","No"),"No")</f>
        <v>No</v>
      </c>
      <c r="O180">
        <f>IFERROR(VALUE(tblRace2025[[#This Row],[Starting Grid]])-VALUE(tblRace2025[[#This Row],[Position]]),0)</f>
        <v>0</v>
      </c>
      <c r="P180" t="str">
        <f>IFERROR(IF(AND(VALUE(tblRace2025[[#This Row],[Starting Grid]])=1,VALUE(tblRace2025[[#This Row],[Position]])=1),"Yes","No"),"No")</f>
        <v>No</v>
      </c>
      <c r="Q180" t="str">
        <f>IF(tblRace2025[[#This Row],[Points]]&gt;0,"Yes","No")</f>
        <v>No</v>
      </c>
      <c r="R180">
        <v>2025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7E9F-09D8-448F-B555-A25DF1B10BDD}">
  <dimension ref="A1:I181"/>
  <sheetViews>
    <sheetView workbookViewId="0">
      <pane ySplit="1" topLeftCell="A2" activePane="bottomLeft" state="frozen"/>
      <selection pane="bottomLeft" activeCell="K12" sqref="K12"/>
    </sheetView>
  </sheetViews>
  <sheetFormatPr defaultRowHeight="14.25" x14ac:dyDescent="0.45"/>
  <cols>
    <col min="1" max="1" width="13.59765625" bestFit="1" customWidth="1"/>
    <col min="2" max="2" width="9.53125" bestFit="1" customWidth="1"/>
    <col min="3" max="3" width="5.265625" bestFit="1" customWidth="1"/>
    <col min="4" max="4" width="15.06640625" bestFit="1" customWidth="1"/>
    <col min="5" max="5" width="26.06640625" bestFit="1" customWidth="1"/>
    <col min="6" max="8" width="7.73046875" bestFit="1" customWidth="1"/>
    <col min="9" max="9" width="6.53125" bestFit="1" customWidth="1"/>
  </cols>
  <sheetData>
    <row r="1" spans="1:9" x14ac:dyDescent="0.45">
      <c r="A1" t="s">
        <v>0</v>
      </c>
      <c r="B1" t="s">
        <v>1</v>
      </c>
      <c r="C1" t="s">
        <v>2</v>
      </c>
      <c r="D1" t="s">
        <v>3</v>
      </c>
      <c r="E1" t="s">
        <v>4</v>
      </c>
      <c r="F1" t="s">
        <v>382</v>
      </c>
      <c r="G1" t="s">
        <v>383</v>
      </c>
      <c r="H1" t="s">
        <v>384</v>
      </c>
      <c r="I1" t="s">
        <v>6</v>
      </c>
    </row>
    <row r="2" spans="1:9" x14ac:dyDescent="0.45">
      <c r="A2" t="s">
        <v>11</v>
      </c>
      <c r="B2" t="s">
        <v>12</v>
      </c>
      <c r="C2">
        <v>4</v>
      </c>
      <c r="D2" t="s">
        <v>13</v>
      </c>
      <c r="E2" t="s">
        <v>14</v>
      </c>
      <c r="F2" t="s">
        <v>385</v>
      </c>
      <c r="G2" t="s">
        <v>386</v>
      </c>
      <c r="H2" t="s">
        <v>387</v>
      </c>
      <c r="I2">
        <v>20</v>
      </c>
    </row>
    <row r="3" spans="1:9" x14ac:dyDescent="0.45">
      <c r="A3" t="s">
        <v>11</v>
      </c>
      <c r="B3" t="s">
        <v>18</v>
      </c>
      <c r="C3">
        <v>81</v>
      </c>
      <c r="D3" t="s">
        <v>53</v>
      </c>
      <c r="E3" t="s">
        <v>14</v>
      </c>
      <c r="F3" t="s">
        <v>388</v>
      </c>
      <c r="G3" t="s">
        <v>389</v>
      </c>
      <c r="H3" t="s">
        <v>390</v>
      </c>
      <c r="I3">
        <v>18</v>
      </c>
    </row>
    <row r="4" spans="1:9" x14ac:dyDescent="0.45">
      <c r="A4" t="s">
        <v>11</v>
      </c>
      <c r="B4" t="s">
        <v>23</v>
      </c>
      <c r="C4">
        <v>1</v>
      </c>
      <c r="D4" t="s">
        <v>19</v>
      </c>
      <c r="E4" t="s">
        <v>20</v>
      </c>
      <c r="F4" t="s">
        <v>391</v>
      </c>
      <c r="G4" t="s">
        <v>392</v>
      </c>
      <c r="H4" t="s">
        <v>393</v>
      </c>
      <c r="I4">
        <v>17</v>
      </c>
    </row>
    <row r="5" spans="1:9" x14ac:dyDescent="0.45">
      <c r="A5" t="s">
        <v>11</v>
      </c>
      <c r="B5" t="s">
        <v>28</v>
      </c>
      <c r="C5">
        <v>63</v>
      </c>
      <c r="D5" t="s">
        <v>24</v>
      </c>
      <c r="E5" t="s">
        <v>25</v>
      </c>
      <c r="F5" t="s">
        <v>394</v>
      </c>
      <c r="G5" t="s">
        <v>395</v>
      </c>
      <c r="H5" t="s">
        <v>396</v>
      </c>
      <c r="I5">
        <v>21</v>
      </c>
    </row>
    <row r="6" spans="1:9" x14ac:dyDescent="0.45">
      <c r="A6" t="s">
        <v>11</v>
      </c>
      <c r="B6" t="s">
        <v>32</v>
      </c>
      <c r="C6">
        <v>22</v>
      </c>
      <c r="D6" t="s">
        <v>66</v>
      </c>
      <c r="E6" t="s">
        <v>67</v>
      </c>
      <c r="F6" t="s">
        <v>397</v>
      </c>
      <c r="G6" t="s">
        <v>398</v>
      </c>
      <c r="H6" t="s">
        <v>399</v>
      </c>
      <c r="I6">
        <v>18</v>
      </c>
    </row>
    <row r="7" spans="1:9" x14ac:dyDescent="0.45">
      <c r="A7" t="s">
        <v>11</v>
      </c>
      <c r="B7" t="s">
        <v>37</v>
      </c>
      <c r="C7">
        <v>23</v>
      </c>
      <c r="D7" t="s">
        <v>33</v>
      </c>
      <c r="E7" t="s">
        <v>34</v>
      </c>
      <c r="F7" t="s">
        <v>400</v>
      </c>
      <c r="G7" t="s">
        <v>401</v>
      </c>
      <c r="H7" t="s">
        <v>402</v>
      </c>
      <c r="I7">
        <v>21</v>
      </c>
    </row>
    <row r="8" spans="1:9" x14ac:dyDescent="0.45">
      <c r="A8" t="s">
        <v>11</v>
      </c>
      <c r="B8" t="s">
        <v>42</v>
      </c>
      <c r="C8">
        <v>16</v>
      </c>
      <c r="D8" t="s">
        <v>48</v>
      </c>
      <c r="E8" t="s">
        <v>49</v>
      </c>
      <c r="F8" t="s">
        <v>403</v>
      </c>
      <c r="G8" t="s">
        <v>404</v>
      </c>
      <c r="H8" t="s">
        <v>405</v>
      </c>
      <c r="I8">
        <v>20</v>
      </c>
    </row>
    <row r="9" spans="1:9" x14ac:dyDescent="0.45">
      <c r="A9" t="s">
        <v>11</v>
      </c>
      <c r="B9" t="s">
        <v>47</v>
      </c>
      <c r="C9">
        <v>44</v>
      </c>
      <c r="D9" t="s">
        <v>57</v>
      </c>
      <c r="E9" t="s">
        <v>49</v>
      </c>
      <c r="F9" t="s">
        <v>406</v>
      </c>
      <c r="G9" t="s">
        <v>407</v>
      </c>
      <c r="H9" t="s">
        <v>408</v>
      </c>
      <c r="I9">
        <v>23</v>
      </c>
    </row>
    <row r="10" spans="1:9" x14ac:dyDescent="0.45">
      <c r="A10" t="s">
        <v>11</v>
      </c>
      <c r="B10" t="s">
        <v>52</v>
      </c>
      <c r="C10">
        <v>10</v>
      </c>
      <c r="D10" t="s">
        <v>61</v>
      </c>
      <c r="E10" t="s">
        <v>62</v>
      </c>
      <c r="F10" t="s">
        <v>409</v>
      </c>
      <c r="G10" t="s">
        <v>410</v>
      </c>
      <c r="H10" t="s">
        <v>411</v>
      </c>
      <c r="I10">
        <v>21</v>
      </c>
    </row>
    <row r="11" spans="1:9" x14ac:dyDescent="0.45">
      <c r="A11" t="s">
        <v>11</v>
      </c>
      <c r="B11" t="s">
        <v>56</v>
      </c>
      <c r="C11">
        <v>55</v>
      </c>
      <c r="D11" t="s">
        <v>87</v>
      </c>
      <c r="E11" t="s">
        <v>34</v>
      </c>
      <c r="F11" t="s">
        <v>412</v>
      </c>
      <c r="G11" t="s">
        <v>413</v>
      </c>
      <c r="H11" t="s">
        <v>388</v>
      </c>
      <c r="I11">
        <v>21</v>
      </c>
    </row>
    <row r="12" spans="1:9" x14ac:dyDescent="0.45">
      <c r="A12" t="s">
        <v>11</v>
      </c>
      <c r="B12" t="s">
        <v>60</v>
      </c>
      <c r="C12">
        <v>6</v>
      </c>
      <c r="D12" t="s">
        <v>90</v>
      </c>
      <c r="E12" t="s">
        <v>67</v>
      </c>
      <c r="F12" t="s">
        <v>414</v>
      </c>
      <c r="G12" t="s">
        <v>415</v>
      </c>
      <c r="H12" t="s">
        <v>88</v>
      </c>
      <c r="I12">
        <v>12</v>
      </c>
    </row>
    <row r="13" spans="1:9" x14ac:dyDescent="0.45">
      <c r="A13" t="s">
        <v>11</v>
      </c>
      <c r="B13" t="s">
        <v>65</v>
      </c>
      <c r="C13">
        <v>14</v>
      </c>
      <c r="D13" t="s">
        <v>85</v>
      </c>
      <c r="E13" t="s">
        <v>39</v>
      </c>
      <c r="F13" t="s">
        <v>416</v>
      </c>
      <c r="G13" t="s">
        <v>417</v>
      </c>
      <c r="H13" t="s">
        <v>88</v>
      </c>
      <c r="I13">
        <v>13</v>
      </c>
    </row>
    <row r="14" spans="1:9" x14ac:dyDescent="0.45">
      <c r="A14" t="s">
        <v>11</v>
      </c>
      <c r="B14" t="s">
        <v>70</v>
      </c>
      <c r="C14">
        <v>18</v>
      </c>
      <c r="D14" t="s">
        <v>38</v>
      </c>
      <c r="E14" t="s">
        <v>39</v>
      </c>
      <c r="F14" t="s">
        <v>418</v>
      </c>
      <c r="G14" t="s">
        <v>419</v>
      </c>
      <c r="H14" t="s">
        <v>88</v>
      </c>
      <c r="I14">
        <v>15</v>
      </c>
    </row>
    <row r="15" spans="1:9" x14ac:dyDescent="0.45">
      <c r="A15" t="s">
        <v>11</v>
      </c>
      <c r="B15" t="s">
        <v>75</v>
      </c>
      <c r="C15">
        <v>7</v>
      </c>
      <c r="D15" t="s">
        <v>89</v>
      </c>
      <c r="E15" t="s">
        <v>62</v>
      </c>
      <c r="F15" t="s">
        <v>420</v>
      </c>
      <c r="G15" t="s">
        <v>421</v>
      </c>
      <c r="H15" t="s">
        <v>88</v>
      </c>
      <c r="I15">
        <v>15</v>
      </c>
    </row>
    <row r="16" spans="1:9" x14ac:dyDescent="0.45">
      <c r="A16" t="s">
        <v>11</v>
      </c>
      <c r="B16" t="s">
        <v>120</v>
      </c>
      <c r="C16">
        <v>5</v>
      </c>
      <c r="D16" t="s">
        <v>83</v>
      </c>
      <c r="E16" t="s">
        <v>44</v>
      </c>
      <c r="F16" t="s">
        <v>422</v>
      </c>
      <c r="G16" t="s">
        <v>423</v>
      </c>
      <c r="H16" t="s">
        <v>88</v>
      </c>
      <c r="I16">
        <v>13</v>
      </c>
    </row>
    <row r="17" spans="1:9" x14ac:dyDescent="0.45">
      <c r="A17" t="s">
        <v>11</v>
      </c>
      <c r="B17" t="s">
        <v>122</v>
      </c>
      <c r="C17">
        <v>12</v>
      </c>
      <c r="D17" t="s">
        <v>29</v>
      </c>
      <c r="E17" t="s">
        <v>25</v>
      </c>
      <c r="F17" t="s">
        <v>424</v>
      </c>
      <c r="G17" t="s">
        <v>88</v>
      </c>
      <c r="H17" t="s">
        <v>88</v>
      </c>
      <c r="I17">
        <v>9</v>
      </c>
    </row>
    <row r="18" spans="1:9" x14ac:dyDescent="0.45">
      <c r="A18" t="s">
        <v>11</v>
      </c>
      <c r="B18" t="s">
        <v>163</v>
      </c>
      <c r="C18">
        <v>27</v>
      </c>
      <c r="D18" t="s">
        <v>43</v>
      </c>
      <c r="E18" t="s">
        <v>44</v>
      </c>
      <c r="F18" t="s">
        <v>425</v>
      </c>
      <c r="G18" t="s">
        <v>88</v>
      </c>
      <c r="H18" t="s">
        <v>88</v>
      </c>
      <c r="I18">
        <v>9</v>
      </c>
    </row>
    <row r="19" spans="1:9" x14ac:dyDescent="0.45">
      <c r="A19" t="s">
        <v>11</v>
      </c>
      <c r="B19" t="s">
        <v>166</v>
      </c>
      <c r="C19">
        <v>30</v>
      </c>
      <c r="D19" t="s">
        <v>80</v>
      </c>
      <c r="E19" t="s">
        <v>20</v>
      </c>
      <c r="F19" t="s">
        <v>426</v>
      </c>
      <c r="G19" t="s">
        <v>88</v>
      </c>
      <c r="H19" t="s">
        <v>88</v>
      </c>
      <c r="I19">
        <v>9</v>
      </c>
    </row>
    <row r="20" spans="1:9" x14ac:dyDescent="0.45">
      <c r="A20" t="s">
        <v>11</v>
      </c>
      <c r="B20" t="s">
        <v>169</v>
      </c>
      <c r="C20">
        <v>31</v>
      </c>
      <c r="D20" t="s">
        <v>71</v>
      </c>
      <c r="E20" t="s">
        <v>72</v>
      </c>
      <c r="F20" t="s">
        <v>427</v>
      </c>
      <c r="G20" t="s">
        <v>88</v>
      </c>
      <c r="H20" t="s">
        <v>88</v>
      </c>
      <c r="I20">
        <v>9</v>
      </c>
    </row>
    <row r="21" spans="1:9" x14ac:dyDescent="0.45">
      <c r="A21" t="s">
        <v>11</v>
      </c>
      <c r="B21" t="s">
        <v>79</v>
      </c>
      <c r="C21">
        <v>87</v>
      </c>
      <c r="D21" t="s">
        <v>76</v>
      </c>
      <c r="E21" t="s">
        <v>72</v>
      </c>
      <c r="F21" t="s">
        <v>428</v>
      </c>
      <c r="G21" t="s">
        <v>88</v>
      </c>
      <c r="H21" t="s">
        <v>88</v>
      </c>
      <c r="I21">
        <v>1</v>
      </c>
    </row>
    <row r="22" spans="1:9" x14ac:dyDescent="0.45">
      <c r="A22" t="s">
        <v>91</v>
      </c>
      <c r="B22" t="s">
        <v>12</v>
      </c>
      <c r="C22">
        <v>81</v>
      </c>
      <c r="D22" t="s">
        <v>53</v>
      </c>
      <c r="E22" t="s">
        <v>14</v>
      </c>
      <c r="F22" t="s">
        <v>429</v>
      </c>
      <c r="G22" t="s">
        <v>430</v>
      </c>
      <c r="H22" t="s">
        <v>431</v>
      </c>
      <c r="I22">
        <v>20</v>
      </c>
    </row>
    <row r="23" spans="1:9" x14ac:dyDescent="0.45">
      <c r="A23" t="s">
        <v>91</v>
      </c>
      <c r="B23" t="s">
        <v>18</v>
      </c>
      <c r="C23">
        <v>63</v>
      </c>
      <c r="D23" t="s">
        <v>24</v>
      </c>
      <c r="E23" t="s">
        <v>25</v>
      </c>
      <c r="F23" t="s">
        <v>432</v>
      </c>
      <c r="G23" t="s">
        <v>433</v>
      </c>
      <c r="H23" t="s">
        <v>434</v>
      </c>
      <c r="I23">
        <v>22</v>
      </c>
    </row>
    <row r="24" spans="1:9" x14ac:dyDescent="0.45">
      <c r="A24" t="s">
        <v>91</v>
      </c>
      <c r="B24" t="s">
        <v>23</v>
      </c>
      <c r="C24">
        <v>4</v>
      </c>
      <c r="D24" t="s">
        <v>13</v>
      </c>
      <c r="E24" t="s">
        <v>14</v>
      </c>
      <c r="F24" t="s">
        <v>435</v>
      </c>
      <c r="G24" t="s">
        <v>436</v>
      </c>
      <c r="H24" t="s">
        <v>437</v>
      </c>
      <c r="I24">
        <v>17</v>
      </c>
    </row>
    <row r="25" spans="1:9" x14ac:dyDescent="0.45">
      <c r="A25" t="s">
        <v>91</v>
      </c>
      <c r="B25" t="s">
        <v>28</v>
      </c>
      <c r="C25">
        <v>1</v>
      </c>
      <c r="D25" t="s">
        <v>19</v>
      </c>
      <c r="E25" t="s">
        <v>20</v>
      </c>
      <c r="F25" t="s">
        <v>438</v>
      </c>
      <c r="G25" t="s">
        <v>439</v>
      </c>
      <c r="H25" t="s">
        <v>440</v>
      </c>
      <c r="I25">
        <v>15</v>
      </c>
    </row>
    <row r="26" spans="1:9" x14ac:dyDescent="0.45">
      <c r="A26" t="s">
        <v>91</v>
      </c>
      <c r="B26" t="s">
        <v>32</v>
      </c>
      <c r="C26">
        <v>44</v>
      </c>
      <c r="D26" t="s">
        <v>57</v>
      </c>
      <c r="E26" t="s">
        <v>49</v>
      </c>
      <c r="F26" t="s">
        <v>441</v>
      </c>
      <c r="G26" t="s">
        <v>442</v>
      </c>
      <c r="H26" t="s">
        <v>443</v>
      </c>
      <c r="I26">
        <v>21</v>
      </c>
    </row>
    <row r="27" spans="1:9" x14ac:dyDescent="0.45">
      <c r="A27" t="s">
        <v>91</v>
      </c>
      <c r="B27" t="s">
        <v>37</v>
      </c>
      <c r="C27">
        <v>16</v>
      </c>
      <c r="D27" t="s">
        <v>48</v>
      </c>
      <c r="E27" t="s">
        <v>49</v>
      </c>
      <c r="F27" t="s">
        <v>444</v>
      </c>
      <c r="G27" t="s">
        <v>445</v>
      </c>
      <c r="H27" t="s">
        <v>446</v>
      </c>
      <c r="I27">
        <v>21</v>
      </c>
    </row>
    <row r="28" spans="1:9" x14ac:dyDescent="0.45">
      <c r="A28" t="s">
        <v>91</v>
      </c>
      <c r="B28" t="s">
        <v>42</v>
      </c>
      <c r="C28">
        <v>6</v>
      </c>
      <c r="D28" t="s">
        <v>90</v>
      </c>
      <c r="E28" t="s">
        <v>67</v>
      </c>
      <c r="F28" t="s">
        <v>447</v>
      </c>
      <c r="G28" t="s">
        <v>448</v>
      </c>
      <c r="H28" t="s">
        <v>449</v>
      </c>
      <c r="I28">
        <v>20</v>
      </c>
    </row>
    <row r="29" spans="1:9" x14ac:dyDescent="0.45">
      <c r="A29" t="s">
        <v>91</v>
      </c>
      <c r="B29" t="s">
        <v>47</v>
      </c>
      <c r="C29">
        <v>12</v>
      </c>
      <c r="D29" t="s">
        <v>29</v>
      </c>
      <c r="E29" t="s">
        <v>25</v>
      </c>
      <c r="F29" t="s">
        <v>450</v>
      </c>
      <c r="G29" t="s">
        <v>451</v>
      </c>
      <c r="H29" t="s">
        <v>452</v>
      </c>
      <c r="I29">
        <v>22</v>
      </c>
    </row>
    <row r="30" spans="1:9" x14ac:dyDescent="0.45">
      <c r="A30" t="s">
        <v>91</v>
      </c>
      <c r="B30" t="s">
        <v>52</v>
      </c>
      <c r="C30">
        <v>22</v>
      </c>
      <c r="D30" t="s">
        <v>66</v>
      </c>
      <c r="E30" t="s">
        <v>453</v>
      </c>
      <c r="F30" t="s">
        <v>454</v>
      </c>
      <c r="G30" t="s">
        <v>455</v>
      </c>
      <c r="H30" t="s">
        <v>456</v>
      </c>
      <c r="I30">
        <v>19</v>
      </c>
    </row>
    <row r="31" spans="1:9" x14ac:dyDescent="0.45">
      <c r="A31" t="s">
        <v>91</v>
      </c>
      <c r="B31" t="s">
        <v>56</v>
      </c>
      <c r="C31">
        <v>23</v>
      </c>
      <c r="D31" t="s">
        <v>33</v>
      </c>
      <c r="E31" t="s">
        <v>34</v>
      </c>
      <c r="F31" t="s">
        <v>457</v>
      </c>
      <c r="G31" t="s">
        <v>458</v>
      </c>
      <c r="H31" t="s">
        <v>459</v>
      </c>
      <c r="I31">
        <v>20</v>
      </c>
    </row>
    <row r="32" spans="1:9" x14ac:dyDescent="0.45">
      <c r="A32" t="s">
        <v>91</v>
      </c>
      <c r="B32" t="s">
        <v>60</v>
      </c>
      <c r="C32">
        <v>31</v>
      </c>
      <c r="D32" t="s">
        <v>71</v>
      </c>
      <c r="E32" t="s">
        <v>72</v>
      </c>
      <c r="F32" t="s">
        <v>460</v>
      </c>
      <c r="G32" t="s">
        <v>461</v>
      </c>
      <c r="H32" t="s">
        <v>88</v>
      </c>
      <c r="I32">
        <v>15</v>
      </c>
    </row>
    <row r="33" spans="1:9" x14ac:dyDescent="0.45">
      <c r="A33" t="s">
        <v>91</v>
      </c>
      <c r="B33" t="s">
        <v>65</v>
      </c>
      <c r="C33">
        <v>27</v>
      </c>
      <c r="D33" t="s">
        <v>43</v>
      </c>
      <c r="E33" t="s">
        <v>44</v>
      </c>
      <c r="F33" t="s">
        <v>462</v>
      </c>
      <c r="G33" t="s">
        <v>463</v>
      </c>
      <c r="H33" t="s">
        <v>88</v>
      </c>
      <c r="I33">
        <v>15</v>
      </c>
    </row>
    <row r="34" spans="1:9" x14ac:dyDescent="0.45">
      <c r="A34" t="s">
        <v>91</v>
      </c>
      <c r="B34" t="s">
        <v>70</v>
      </c>
      <c r="C34">
        <v>14</v>
      </c>
      <c r="D34" t="s">
        <v>85</v>
      </c>
      <c r="E34" t="s">
        <v>39</v>
      </c>
      <c r="F34" t="s">
        <v>464</v>
      </c>
      <c r="G34" t="s">
        <v>465</v>
      </c>
      <c r="H34" t="s">
        <v>88</v>
      </c>
      <c r="I34">
        <v>15</v>
      </c>
    </row>
    <row r="35" spans="1:9" x14ac:dyDescent="0.45">
      <c r="A35" t="s">
        <v>91</v>
      </c>
      <c r="B35" t="s">
        <v>75</v>
      </c>
      <c r="C35">
        <v>18</v>
      </c>
      <c r="D35" t="s">
        <v>38</v>
      </c>
      <c r="E35" t="s">
        <v>39</v>
      </c>
      <c r="F35" t="s">
        <v>466</v>
      </c>
      <c r="G35" t="s">
        <v>467</v>
      </c>
      <c r="H35" t="s">
        <v>88</v>
      </c>
      <c r="I35">
        <v>15</v>
      </c>
    </row>
    <row r="36" spans="1:9" x14ac:dyDescent="0.45">
      <c r="A36" t="s">
        <v>91</v>
      </c>
      <c r="B36" t="s">
        <v>120</v>
      </c>
      <c r="C36">
        <v>55</v>
      </c>
      <c r="D36" t="s">
        <v>87</v>
      </c>
      <c r="E36" t="s">
        <v>34</v>
      </c>
      <c r="F36" t="s">
        <v>468</v>
      </c>
      <c r="G36" t="s">
        <v>469</v>
      </c>
      <c r="H36" t="s">
        <v>88</v>
      </c>
      <c r="I36">
        <v>15</v>
      </c>
    </row>
    <row r="37" spans="1:9" x14ac:dyDescent="0.45">
      <c r="A37" t="s">
        <v>91</v>
      </c>
      <c r="B37" t="s">
        <v>122</v>
      </c>
      <c r="C37">
        <v>10</v>
      </c>
      <c r="D37" t="s">
        <v>61</v>
      </c>
      <c r="E37" t="s">
        <v>62</v>
      </c>
      <c r="F37" t="s">
        <v>470</v>
      </c>
      <c r="G37" t="s">
        <v>88</v>
      </c>
      <c r="H37" t="s">
        <v>88</v>
      </c>
      <c r="I37">
        <v>9</v>
      </c>
    </row>
    <row r="38" spans="1:9" x14ac:dyDescent="0.45">
      <c r="A38" t="s">
        <v>91</v>
      </c>
      <c r="B38" t="s">
        <v>163</v>
      </c>
      <c r="C38">
        <v>87</v>
      </c>
      <c r="D38" t="s">
        <v>76</v>
      </c>
      <c r="E38" t="s">
        <v>72</v>
      </c>
      <c r="F38" t="s">
        <v>471</v>
      </c>
      <c r="G38" t="s">
        <v>88</v>
      </c>
      <c r="H38" t="s">
        <v>88</v>
      </c>
      <c r="I38">
        <v>8</v>
      </c>
    </row>
    <row r="39" spans="1:9" x14ac:dyDescent="0.45">
      <c r="A39" t="s">
        <v>91</v>
      </c>
      <c r="B39" t="s">
        <v>166</v>
      </c>
      <c r="C39">
        <v>7</v>
      </c>
      <c r="D39" t="s">
        <v>89</v>
      </c>
      <c r="E39" t="s">
        <v>62</v>
      </c>
      <c r="F39" t="s">
        <v>472</v>
      </c>
      <c r="G39" t="s">
        <v>88</v>
      </c>
      <c r="H39" t="s">
        <v>88</v>
      </c>
      <c r="I39">
        <v>8</v>
      </c>
    </row>
    <row r="40" spans="1:9" x14ac:dyDescent="0.45">
      <c r="A40" t="s">
        <v>91</v>
      </c>
      <c r="B40" t="s">
        <v>169</v>
      </c>
      <c r="C40">
        <v>5</v>
      </c>
      <c r="D40" t="s">
        <v>83</v>
      </c>
      <c r="E40" t="s">
        <v>44</v>
      </c>
      <c r="F40" t="s">
        <v>473</v>
      </c>
      <c r="G40" t="s">
        <v>88</v>
      </c>
      <c r="H40" t="s">
        <v>88</v>
      </c>
      <c r="I40">
        <v>9</v>
      </c>
    </row>
    <row r="41" spans="1:9" x14ac:dyDescent="0.45">
      <c r="A41" t="s">
        <v>91</v>
      </c>
      <c r="B41" t="s">
        <v>172</v>
      </c>
      <c r="C41">
        <v>30</v>
      </c>
      <c r="D41" t="s">
        <v>80</v>
      </c>
      <c r="E41" t="s">
        <v>20</v>
      </c>
      <c r="F41" t="s">
        <v>474</v>
      </c>
      <c r="G41" t="s">
        <v>88</v>
      </c>
      <c r="H41" t="s">
        <v>88</v>
      </c>
      <c r="I41">
        <v>8</v>
      </c>
    </row>
    <row r="42" spans="1:9" x14ac:dyDescent="0.45">
      <c r="A42" t="s">
        <v>130</v>
      </c>
      <c r="B42" t="s">
        <v>12</v>
      </c>
      <c r="C42">
        <v>1</v>
      </c>
      <c r="D42" t="s">
        <v>19</v>
      </c>
      <c r="E42" t="s">
        <v>20</v>
      </c>
      <c r="F42" t="s">
        <v>475</v>
      </c>
      <c r="G42" t="s">
        <v>476</v>
      </c>
      <c r="H42" t="s">
        <v>477</v>
      </c>
      <c r="I42">
        <v>17</v>
      </c>
    </row>
    <row r="43" spans="1:9" x14ac:dyDescent="0.45">
      <c r="A43" t="s">
        <v>130</v>
      </c>
      <c r="B43" t="s">
        <v>18</v>
      </c>
      <c r="C43">
        <v>4</v>
      </c>
      <c r="D43" t="s">
        <v>13</v>
      </c>
      <c r="E43" t="s">
        <v>14</v>
      </c>
      <c r="F43" t="s">
        <v>478</v>
      </c>
      <c r="G43" t="s">
        <v>479</v>
      </c>
      <c r="H43" t="s">
        <v>480</v>
      </c>
      <c r="I43">
        <v>15</v>
      </c>
    </row>
    <row r="44" spans="1:9" x14ac:dyDescent="0.45">
      <c r="A44" t="s">
        <v>130</v>
      </c>
      <c r="B44" t="s">
        <v>23</v>
      </c>
      <c r="C44">
        <v>81</v>
      </c>
      <c r="D44" t="s">
        <v>53</v>
      </c>
      <c r="E44" t="s">
        <v>14</v>
      </c>
      <c r="F44" t="s">
        <v>481</v>
      </c>
      <c r="G44" t="s">
        <v>482</v>
      </c>
      <c r="H44" t="s">
        <v>483</v>
      </c>
      <c r="I44">
        <v>18</v>
      </c>
    </row>
    <row r="45" spans="1:9" x14ac:dyDescent="0.45">
      <c r="A45" t="s">
        <v>130</v>
      </c>
      <c r="B45" t="s">
        <v>28</v>
      </c>
      <c r="C45">
        <v>16</v>
      </c>
      <c r="D45" t="s">
        <v>48</v>
      </c>
      <c r="E45" t="s">
        <v>49</v>
      </c>
      <c r="F45" t="s">
        <v>484</v>
      </c>
      <c r="G45" t="s">
        <v>485</v>
      </c>
      <c r="H45" t="s">
        <v>486</v>
      </c>
      <c r="I45">
        <v>21</v>
      </c>
    </row>
    <row r="46" spans="1:9" x14ac:dyDescent="0.45">
      <c r="A46" t="s">
        <v>130</v>
      </c>
      <c r="B46" t="s">
        <v>32</v>
      </c>
      <c r="C46">
        <v>63</v>
      </c>
      <c r="D46" t="s">
        <v>24</v>
      </c>
      <c r="E46" t="s">
        <v>25</v>
      </c>
      <c r="F46" t="s">
        <v>487</v>
      </c>
      <c r="G46" t="s">
        <v>488</v>
      </c>
      <c r="H46" t="s">
        <v>489</v>
      </c>
      <c r="I46">
        <v>17</v>
      </c>
    </row>
    <row r="47" spans="1:9" x14ac:dyDescent="0.45">
      <c r="A47" t="s">
        <v>130</v>
      </c>
      <c r="B47" t="s">
        <v>37</v>
      </c>
      <c r="C47">
        <v>12</v>
      </c>
      <c r="D47" t="s">
        <v>29</v>
      </c>
      <c r="E47" t="s">
        <v>25</v>
      </c>
      <c r="F47" t="s">
        <v>490</v>
      </c>
      <c r="G47" t="s">
        <v>491</v>
      </c>
      <c r="H47" t="s">
        <v>485</v>
      </c>
      <c r="I47">
        <v>18</v>
      </c>
    </row>
    <row r="48" spans="1:9" x14ac:dyDescent="0.45">
      <c r="A48" t="s">
        <v>130</v>
      </c>
      <c r="B48" t="s">
        <v>42</v>
      </c>
      <c r="C48">
        <v>6</v>
      </c>
      <c r="D48" t="s">
        <v>90</v>
      </c>
      <c r="E48" t="s">
        <v>67</v>
      </c>
      <c r="F48" t="s">
        <v>492</v>
      </c>
      <c r="G48" t="s">
        <v>493</v>
      </c>
      <c r="H48" t="s">
        <v>494</v>
      </c>
      <c r="I48">
        <v>18</v>
      </c>
    </row>
    <row r="49" spans="1:9" x14ac:dyDescent="0.45">
      <c r="A49" t="s">
        <v>130</v>
      </c>
      <c r="B49" t="s">
        <v>47</v>
      </c>
      <c r="C49">
        <v>44</v>
      </c>
      <c r="D49" t="s">
        <v>57</v>
      </c>
      <c r="E49" t="s">
        <v>49</v>
      </c>
      <c r="F49" t="s">
        <v>495</v>
      </c>
      <c r="G49" t="s">
        <v>496</v>
      </c>
      <c r="H49" t="s">
        <v>496</v>
      </c>
      <c r="I49">
        <v>23</v>
      </c>
    </row>
    <row r="50" spans="1:9" x14ac:dyDescent="0.45">
      <c r="A50" t="s">
        <v>130</v>
      </c>
      <c r="B50" t="s">
        <v>52</v>
      </c>
      <c r="C50">
        <v>23</v>
      </c>
      <c r="D50" t="s">
        <v>33</v>
      </c>
      <c r="E50" t="s">
        <v>34</v>
      </c>
      <c r="F50" t="s">
        <v>497</v>
      </c>
      <c r="G50" t="s">
        <v>498</v>
      </c>
      <c r="H50" t="s">
        <v>499</v>
      </c>
      <c r="I50">
        <v>20</v>
      </c>
    </row>
    <row r="51" spans="1:9" x14ac:dyDescent="0.45">
      <c r="A51" t="s">
        <v>130</v>
      </c>
      <c r="B51" t="s">
        <v>56</v>
      </c>
      <c r="C51">
        <v>87</v>
      </c>
      <c r="D51" t="s">
        <v>76</v>
      </c>
      <c r="E51" t="s">
        <v>72</v>
      </c>
      <c r="F51" t="s">
        <v>500</v>
      </c>
      <c r="G51" t="s">
        <v>501</v>
      </c>
      <c r="H51" t="s">
        <v>502</v>
      </c>
      <c r="I51">
        <v>21</v>
      </c>
    </row>
    <row r="52" spans="1:9" x14ac:dyDescent="0.45">
      <c r="A52" t="s">
        <v>130</v>
      </c>
      <c r="B52" t="s">
        <v>60</v>
      </c>
      <c r="C52">
        <v>10</v>
      </c>
      <c r="D52" t="s">
        <v>61</v>
      </c>
      <c r="E52" t="s">
        <v>62</v>
      </c>
      <c r="F52" t="s">
        <v>503</v>
      </c>
      <c r="G52" t="s">
        <v>504</v>
      </c>
      <c r="H52" t="s">
        <v>88</v>
      </c>
      <c r="I52">
        <v>12</v>
      </c>
    </row>
    <row r="53" spans="1:9" x14ac:dyDescent="0.45">
      <c r="A53" t="s">
        <v>130</v>
      </c>
      <c r="B53" t="s">
        <v>65</v>
      </c>
      <c r="C53">
        <v>55</v>
      </c>
      <c r="D53" t="s">
        <v>87</v>
      </c>
      <c r="E53" t="s">
        <v>34</v>
      </c>
      <c r="F53" t="s">
        <v>505</v>
      </c>
      <c r="G53" t="s">
        <v>506</v>
      </c>
      <c r="H53" t="s">
        <v>88</v>
      </c>
      <c r="I53">
        <v>15</v>
      </c>
    </row>
    <row r="54" spans="1:9" x14ac:dyDescent="0.45">
      <c r="A54" t="s">
        <v>130</v>
      </c>
      <c r="B54" t="s">
        <v>70</v>
      </c>
      <c r="C54">
        <v>14</v>
      </c>
      <c r="D54" t="s">
        <v>85</v>
      </c>
      <c r="E54" t="s">
        <v>39</v>
      </c>
      <c r="F54" t="s">
        <v>507</v>
      </c>
      <c r="G54" t="s">
        <v>508</v>
      </c>
      <c r="H54" t="s">
        <v>88</v>
      </c>
      <c r="I54">
        <v>12</v>
      </c>
    </row>
    <row r="55" spans="1:9" x14ac:dyDescent="0.45">
      <c r="A55" t="s">
        <v>130</v>
      </c>
      <c r="B55" t="s">
        <v>75</v>
      </c>
      <c r="C55">
        <v>30</v>
      </c>
      <c r="D55" t="s">
        <v>80</v>
      </c>
      <c r="E55" t="s">
        <v>67</v>
      </c>
      <c r="F55" t="s">
        <v>509</v>
      </c>
      <c r="G55" t="s">
        <v>510</v>
      </c>
      <c r="H55" t="s">
        <v>88</v>
      </c>
      <c r="I55">
        <v>12</v>
      </c>
    </row>
    <row r="56" spans="1:9" x14ac:dyDescent="0.45">
      <c r="A56" t="s">
        <v>130</v>
      </c>
      <c r="B56" t="s">
        <v>120</v>
      </c>
      <c r="C56">
        <v>22</v>
      </c>
      <c r="D56" t="s">
        <v>66</v>
      </c>
      <c r="E56" t="s">
        <v>20</v>
      </c>
      <c r="F56" t="s">
        <v>511</v>
      </c>
      <c r="G56" t="s">
        <v>512</v>
      </c>
      <c r="H56" t="s">
        <v>88</v>
      </c>
      <c r="I56">
        <v>12</v>
      </c>
    </row>
    <row r="57" spans="1:9" x14ac:dyDescent="0.45">
      <c r="A57" t="s">
        <v>130</v>
      </c>
      <c r="B57" t="s">
        <v>122</v>
      </c>
      <c r="C57">
        <v>27</v>
      </c>
      <c r="D57" t="s">
        <v>43</v>
      </c>
      <c r="E57" t="s">
        <v>44</v>
      </c>
      <c r="F57" t="s">
        <v>513</v>
      </c>
      <c r="G57" t="s">
        <v>88</v>
      </c>
      <c r="H57" t="s">
        <v>88</v>
      </c>
      <c r="I57">
        <v>9</v>
      </c>
    </row>
    <row r="58" spans="1:9" x14ac:dyDescent="0.45">
      <c r="A58" t="s">
        <v>130</v>
      </c>
      <c r="B58" t="s">
        <v>163</v>
      </c>
      <c r="C58">
        <v>5</v>
      </c>
      <c r="D58" t="s">
        <v>83</v>
      </c>
      <c r="E58" t="s">
        <v>44</v>
      </c>
      <c r="F58" t="s">
        <v>514</v>
      </c>
      <c r="G58" t="s">
        <v>88</v>
      </c>
      <c r="H58" t="s">
        <v>88</v>
      </c>
      <c r="I58">
        <v>9</v>
      </c>
    </row>
    <row r="59" spans="1:9" x14ac:dyDescent="0.45">
      <c r="A59" t="s">
        <v>130</v>
      </c>
      <c r="B59" t="s">
        <v>166</v>
      </c>
      <c r="C59">
        <v>31</v>
      </c>
      <c r="D59" t="s">
        <v>71</v>
      </c>
      <c r="E59" t="s">
        <v>72</v>
      </c>
      <c r="F59" t="s">
        <v>515</v>
      </c>
      <c r="G59" t="s">
        <v>88</v>
      </c>
      <c r="H59" t="s">
        <v>88</v>
      </c>
      <c r="I59">
        <v>9</v>
      </c>
    </row>
    <row r="60" spans="1:9" x14ac:dyDescent="0.45">
      <c r="A60" t="s">
        <v>130</v>
      </c>
      <c r="B60" t="s">
        <v>169</v>
      </c>
      <c r="C60">
        <v>7</v>
      </c>
      <c r="D60" t="s">
        <v>89</v>
      </c>
      <c r="E60" t="s">
        <v>62</v>
      </c>
      <c r="F60" t="s">
        <v>516</v>
      </c>
      <c r="G60" t="s">
        <v>88</v>
      </c>
      <c r="H60" t="s">
        <v>88</v>
      </c>
      <c r="I60">
        <v>9</v>
      </c>
    </row>
    <row r="61" spans="1:9" x14ac:dyDescent="0.45">
      <c r="A61" t="s">
        <v>130</v>
      </c>
      <c r="B61" t="s">
        <v>172</v>
      </c>
      <c r="C61">
        <v>18</v>
      </c>
      <c r="D61" t="s">
        <v>38</v>
      </c>
      <c r="E61" t="s">
        <v>39</v>
      </c>
      <c r="F61" t="s">
        <v>517</v>
      </c>
      <c r="G61" t="s">
        <v>88</v>
      </c>
      <c r="H61" t="s">
        <v>88</v>
      </c>
      <c r="I61">
        <v>5</v>
      </c>
    </row>
    <row r="62" spans="1:9" x14ac:dyDescent="0.45">
      <c r="A62" t="s">
        <v>174</v>
      </c>
      <c r="B62" t="s">
        <v>12</v>
      </c>
      <c r="C62">
        <v>81</v>
      </c>
      <c r="D62" t="s">
        <v>53</v>
      </c>
      <c r="E62" t="s">
        <v>14</v>
      </c>
      <c r="F62" t="s">
        <v>518</v>
      </c>
      <c r="G62" t="s">
        <v>519</v>
      </c>
      <c r="H62" t="s">
        <v>520</v>
      </c>
      <c r="I62">
        <v>15</v>
      </c>
    </row>
    <row r="63" spans="1:9" x14ac:dyDescent="0.45">
      <c r="A63" t="s">
        <v>174</v>
      </c>
      <c r="B63" t="s">
        <v>18</v>
      </c>
      <c r="C63">
        <v>63</v>
      </c>
      <c r="D63" t="s">
        <v>24</v>
      </c>
      <c r="E63" t="s">
        <v>25</v>
      </c>
      <c r="F63" t="s">
        <v>521</v>
      </c>
      <c r="G63" t="s">
        <v>522</v>
      </c>
      <c r="H63" t="s">
        <v>523</v>
      </c>
      <c r="I63">
        <v>20</v>
      </c>
    </row>
    <row r="64" spans="1:9" x14ac:dyDescent="0.45">
      <c r="A64" t="s">
        <v>174</v>
      </c>
      <c r="B64" t="s">
        <v>23</v>
      </c>
      <c r="C64">
        <v>16</v>
      </c>
      <c r="D64" t="s">
        <v>48</v>
      </c>
      <c r="E64" t="s">
        <v>49</v>
      </c>
      <c r="F64" t="s">
        <v>524</v>
      </c>
      <c r="G64" t="s">
        <v>525</v>
      </c>
      <c r="H64" t="s">
        <v>526</v>
      </c>
      <c r="I64">
        <v>16</v>
      </c>
    </row>
    <row r="65" spans="1:9" x14ac:dyDescent="0.45">
      <c r="A65" t="s">
        <v>174</v>
      </c>
      <c r="B65" t="s">
        <v>28</v>
      </c>
      <c r="C65">
        <v>12</v>
      </c>
      <c r="D65" t="s">
        <v>29</v>
      </c>
      <c r="E65" t="s">
        <v>25</v>
      </c>
      <c r="F65" t="s">
        <v>527</v>
      </c>
      <c r="G65" t="s">
        <v>528</v>
      </c>
      <c r="H65" t="s">
        <v>529</v>
      </c>
      <c r="I65">
        <v>20</v>
      </c>
    </row>
    <row r="66" spans="1:9" x14ac:dyDescent="0.45">
      <c r="A66" t="s">
        <v>174</v>
      </c>
      <c r="B66" t="s">
        <v>32</v>
      </c>
      <c r="C66">
        <v>10</v>
      </c>
      <c r="D66" t="s">
        <v>61</v>
      </c>
      <c r="E66" t="s">
        <v>62</v>
      </c>
      <c r="F66" t="s">
        <v>530</v>
      </c>
      <c r="G66" t="s">
        <v>531</v>
      </c>
      <c r="H66" t="s">
        <v>532</v>
      </c>
      <c r="I66">
        <v>19</v>
      </c>
    </row>
    <row r="67" spans="1:9" x14ac:dyDescent="0.45">
      <c r="A67" t="s">
        <v>174</v>
      </c>
      <c r="B67" t="s">
        <v>37</v>
      </c>
      <c r="C67">
        <v>4</v>
      </c>
      <c r="D67" t="s">
        <v>13</v>
      </c>
      <c r="E67" t="s">
        <v>14</v>
      </c>
      <c r="F67" t="s">
        <v>533</v>
      </c>
      <c r="G67" t="s">
        <v>534</v>
      </c>
      <c r="H67" t="s">
        <v>535</v>
      </c>
      <c r="I67">
        <v>18</v>
      </c>
    </row>
    <row r="68" spans="1:9" x14ac:dyDescent="0.45">
      <c r="A68" t="s">
        <v>174</v>
      </c>
      <c r="B68" t="s">
        <v>42</v>
      </c>
      <c r="C68">
        <v>1</v>
      </c>
      <c r="D68" t="s">
        <v>19</v>
      </c>
      <c r="E68" t="s">
        <v>20</v>
      </c>
      <c r="F68" t="s">
        <v>536</v>
      </c>
      <c r="G68" t="s">
        <v>537</v>
      </c>
      <c r="H68" t="s">
        <v>538</v>
      </c>
      <c r="I68">
        <v>17</v>
      </c>
    </row>
    <row r="69" spans="1:9" x14ac:dyDescent="0.45">
      <c r="A69" t="s">
        <v>174</v>
      </c>
      <c r="B69" t="s">
        <v>47</v>
      </c>
      <c r="C69">
        <v>55</v>
      </c>
      <c r="D69" t="s">
        <v>87</v>
      </c>
      <c r="E69" t="s">
        <v>34</v>
      </c>
      <c r="F69" t="s">
        <v>429</v>
      </c>
      <c r="G69" t="s">
        <v>539</v>
      </c>
      <c r="H69" t="s">
        <v>540</v>
      </c>
      <c r="I69">
        <v>19</v>
      </c>
    </row>
    <row r="70" spans="1:9" x14ac:dyDescent="0.45">
      <c r="A70" t="s">
        <v>174</v>
      </c>
      <c r="B70" t="s">
        <v>52</v>
      </c>
      <c r="C70">
        <v>44</v>
      </c>
      <c r="D70" t="s">
        <v>57</v>
      </c>
      <c r="E70" t="s">
        <v>49</v>
      </c>
      <c r="F70" t="s">
        <v>541</v>
      </c>
      <c r="G70" t="s">
        <v>542</v>
      </c>
      <c r="H70" t="s">
        <v>543</v>
      </c>
      <c r="I70">
        <v>18</v>
      </c>
    </row>
    <row r="71" spans="1:9" x14ac:dyDescent="0.45">
      <c r="A71" t="s">
        <v>174</v>
      </c>
      <c r="B71" t="s">
        <v>56</v>
      </c>
      <c r="C71">
        <v>22</v>
      </c>
      <c r="D71" t="s">
        <v>66</v>
      </c>
      <c r="E71" t="s">
        <v>20</v>
      </c>
      <c r="F71" t="s">
        <v>544</v>
      </c>
      <c r="G71" t="s">
        <v>545</v>
      </c>
      <c r="H71" t="s">
        <v>536</v>
      </c>
      <c r="I71">
        <v>17</v>
      </c>
    </row>
    <row r="72" spans="1:9" x14ac:dyDescent="0.45">
      <c r="A72" t="s">
        <v>174</v>
      </c>
      <c r="B72" t="s">
        <v>60</v>
      </c>
      <c r="C72">
        <v>7</v>
      </c>
      <c r="D72" t="s">
        <v>89</v>
      </c>
      <c r="E72" t="s">
        <v>62</v>
      </c>
      <c r="F72" t="s">
        <v>546</v>
      </c>
      <c r="G72" t="s">
        <v>547</v>
      </c>
      <c r="H72" t="s">
        <v>88</v>
      </c>
      <c r="I72">
        <v>13</v>
      </c>
    </row>
    <row r="73" spans="1:9" x14ac:dyDescent="0.45">
      <c r="A73" t="s">
        <v>174</v>
      </c>
      <c r="B73" t="s">
        <v>65</v>
      </c>
      <c r="C73">
        <v>6</v>
      </c>
      <c r="D73" t="s">
        <v>90</v>
      </c>
      <c r="E73" t="s">
        <v>548</v>
      </c>
      <c r="F73" t="s">
        <v>429</v>
      </c>
      <c r="G73" t="s">
        <v>549</v>
      </c>
      <c r="H73" t="s">
        <v>88</v>
      </c>
      <c r="I73">
        <v>12</v>
      </c>
    </row>
    <row r="74" spans="1:9" x14ac:dyDescent="0.45">
      <c r="A74" t="s">
        <v>174</v>
      </c>
      <c r="B74" t="s">
        <v>70</v>
      </c>
      <c r="C74">
        <v>14</v>
      </c>
      <c r="D74" t="s">
        <v>85</v>
      </c>
      <c r="E74" t="s">
        <v>39</v>
      </c>
      <c r="F74" t="s">
        <v>550</v>
      </c>
      <c r="G74" t="s">
        <v>551</v>
      </c>
      <c r="H74" t="s">
        <v>88</v>
      </c>
      <c r="I74">
        <v>15</v>
      </c>
    </row>
    <row r="75" spans="1:9" x14ac:dyDescent="0.45">
      <c r="A75" t="s">
        <v>174</v>
      </c>
      <c r="B75" t="s">
        <v>75</v>
      </c>
      <c r="C75">
        <v>31</v>
      </c>
      <c r="D75" t="s">
        <v>71</v>
      </c>
      <c r="E75" t="s">
        <v>72</v>
      </c>
      <c r="F75" t="s">
        <v>552</v>
      </c>
      <c r="G75" t="s">
        <v>81</v>
      </c>
      <c r="H75" t="s">
        <v>88</v>
      </c>
      <c r="I75">
        <v>8</v>
      </c>
    </row>
    <row r="76" spans="1:9" x14ac:dyDescent="0.45">
      <c r="A76" t="s">
        <v>174</v>
      </c>
      <c r="B76" t="s">
        <v>120</v>
      </c>
      <c r="C76">
        <v>23</v>
      </c>
      <c r="D76" t="s">
        <v>33</v>
      </c>
      <c r="E76" t="s">
        <v>34</v>
      </c>
      <c r="F76" t="s">
        <v>553</v>
      </c>
      <c r="G76" t="s">
        <v>88</v>
      </c>
      <c r="H76" t="s">
        <v>88</v>
      </c>
      <c r="I76">
        <v>6</v>
      </c>
    </row>
    <row r="77" spans="1:9" x14ac:dyDescent="0.45">
      <c r="A77" t="s">
        <v>174</v>
      </c>
      <c r="B77" t="s">
        <v>122</v>
      </c>
      <c r="C77">
        <v>27</v>
      </c>
      <c r="D77" t="s">
        <v>43</v>
      </c>
      <c r="E77" t="s">
        <v>44</v>
      </c>
      <c r="F77" t="s">
        <v>554</v>
      </c>
      <c r="G77" t="s">
        <v>88</v>
      </c>
      <c r="H77" t="s">
        <v>88</v>
      </c>
      <c r="I77">
        <v>17</v>
      </c>
    </row>
    <row r="78" spans="1:9" x14ac:dyDescent="0.45">
      <c r="A78" t="s">
        <v>174</v>
      </c>
      <c r="B78" t="s">
        <v>163</v>
      </c>
      <c r="C78">
        <v>30</v>
      </c>
      <c r="D78" t="s">
        <v>80</v>
      </c>
      <c r="E78" t="s">
        <v>67</v>
      </c>
      <c r="F78" t="s">
        <v>555</v>
      </c>
      <c r="G78" t="s">
        <v>88</v>
      </c>
      <c r="H78" t="s">
        <v>88</v>
      </c>
      <c r="I78">
        <v>6</v>
      </c>
    </row>
    <row r="79" spans="1:9" x14ac:dyDescent="0.45">
      <c r="A79" t="s">
        <v>174</v>
      </c>
      <c r="B79" t="s">
        <v>166</v>
      </c>
      <c r="C79">
        <v>5</v>
      </c>
      <c r="D79" t="s">
        <v>83</v>
      </c>
      <c r="E79" t="s">
        <v>44</v>
      </c>
      <c r="F79" t="s">
        <v>556</v>
      </c>
      <c r="G79" t="s">
        <v>88</v>
      </c>
      <c r="H79" t="s">
        <v>88</v>
      </c>
      <c r="I79">
        <v>6</v>
      </c>
    </row>
    <row r="80" spans="1:9" x14ac:dyDescent="0.45">
      <c r="A80" t="s">
        <v>174</v>
      </c>
      <c r="B80" t="s">
        <v>169</v>
      </c>
      <c r="C80">
        <v>18</v>
      </c>
      <c r="D80" t="s">
        <v>38</v>
      </c>
      <c r="E80" t="s">
        <v>39</v>
      </c>
      <c r="F80" t="s">
        <v>557</v>
      </c>
      <c r="G80" t="s">
        <v>88</v>
      </c>
      <c r="H80" t="s">
        <v>88</v>
      </c>
      <c r="I80">
        <v>9</v>
      </c>
    </row>
    <row r="81" spans="1:9" x14ac:dyDescent="0.45">
      <c r="A81" t="s">
        <v>174</v>
      </c>
      <c r="B81" t="s">
        <v>172</v>
      </c>
      <c r="C81">
        <v>87</v>
      </c>
      <c r="D81" t="s">
        <v>76</v>
      </c>
      <c r="E81" t="s">
        <v>72</v>
      </c>
      <c r="F81" t="s">
        <v>558</v>
      </c>
      <c r="G81" t="s">
        <v>88</v>
      </c>
      <c r="H81" t="s">
        <v>88</v>
      </c>
      <c r="I81">
        <v>6</v>
      </c>
    </row>
    <row r="82" spans="1:9" x14ac:dyDescent="0.45">
      <c r="A82" t="s">
        <v>213</v>
      </c>
      <c r="B82" t="s">
        <v>12</v>
      </c>
      <c r="C82">
        <v>1</v>
      </c>
      <c r="D82" t="s">
        <v>19</v>
      </c>
      <c r="E82" t="s">
        <v>20</v>
      </c>
      <c r="F82" t="s">
        <v>559</v>
      </c>
      <c r="G82" t="s">
        <v>560</v>
      </c>
      <c r="H82" t="s">
        <v>561</v>
      </c>
      <c r="I82">
        <v>19</v>
      </c>
    </row>
    <row r="83" spans="1:9" x14ac:dyDescent="0.45">
      <c r="A83" t="s">
        <v>213</v>
      </c>
      <c r="B83" t="s">
        <v>18</v>
      </c>
      <c r="C83">
        <v>81</v>
      </c>
      <c r="D83" t="s">
        <v>53</v>
      </c>
      <c r="E83" t="s">
        <v>14</v>
      </c>
      <c r="F83" t="s">
        <v>562</v>
      </c>
      <c r="G83" t="s">
        <v>563</v>
      </c>
      <c r="H83" t="s">
        <v>564</v>
      </c>
      <c r="I83">
        <v>18</v>
      </c>
    </row>
    <row r="84" spans="1:9" x14ac:dyDescent="0.45">
      <c r="A84" t="s">
        <v>213</v>
      </c>
      <c r="B84" t="s">
        <v>23</v>
      </c>
      <c r="C84">
        <v>63</v>
      </c>
      <c r="D84" t="s">
        <v>24</v>
      </c>
      <c r="E84" t="s">
        <v>25</v>
      </c>
      <c r="F84" t="s">
        <v>565</v>
      </c>
      <c r="G84" t="s">
        <v>566</v>
      </c>
      <c r="H84" t="s">
        <v>567</v>
      </c>
      <c r="I84">
        <v>16</v>
      </c>
    </row>
    <row r="85" spans="1:9" x14ac:dyDescent="0.45">
      <c r="A85" t="s">
        <v>213</v>
      </c>
      <c r="B85" t="s">
        <v>28</v>
      </c>
      <c r="C85">
        <v>16</v>
      </c>
      <c r="D85" t="s">
        <v>48</v>
      </c>
      <c r="E85" t="s">
        <v>49</v>
      </c>
      <c r="F85" t="s">
        <v>568</v>
      </c>
      <c r="G85" t="s">
        <v>569</v>
      </c>
      <c r="H85" t="s">
        <v>570</v>
      </c>
      <c r="I85">
        <v>19</v>
      </c>
    </row>
    <row r="86" spans="1:9" x14ac:dyDescent="0.45">
      <c r="A86" t="s">
        <v>213</v>
      </c>
      <c r="B86" t="s">
        <v>32</v>
      </c>
      <c r="C86">
        <v>12</v>
      </c>
      <c r="D86" t="s">
        <v>29</v>
      </c>
      <c r="E86" t="s">
        <v>25</v>
      </c>
      <c r="F86" t="s">
        <v>571</v>
      </c>
      <c r="G86" t="s">
        <v>572</v>
      </c>
      <c r="H86" t="s">
        <v>569</v>
      </c>
      <c r="I86">
        <v>17</v>
      </c>
    </row>
    <row r="87" spans="1:9" x14ac:dyDescent="0.45">
      <c r="A87" t="s">
        <v>213</v>
      </c>
      <c r="B87" t="s">
        <v>37</v>
      </c>
      <c r="C87">
        <v>55</v>
      </c>
      <c r="D87" t="s">
        <v>87</v>
      </c>
      <c r="E87" t="s">
        <v>34</v>
      </c>
      <c r="F87" t="s">
        <v>573</v>
      </c>
      <c r="G87" t="s">
        <v>574</v>
      </c>
      <c r="H87" t="s">
        <v>575</v>
      </c>
      <c r="I87">
        <v>23</v>
      </c>
    </row>
    <row r="88" spans="1:9" x14ac:dyDescent="0.45">
      <c r="A88" t="s">
        <v>213</v>
      </c>
      <c r="B88" t="s">
        <v>42</v>
      </c>
      <c r="C88">
        <v>44</v>
      </c>
      <c r="D88" t="s">
        <v>57</v>
      </c>
      <c r="E88" t="s">
        <v>49</v>
      </c>
      <c r="F88" t="s">
        <v>576</v>
      </c>
      <c r="G88" t="s">
        <v>577</v>
      </c>
      <c r="H88" t="s">
        <v>578</v>
      </c>
      <c r="I88">
        <v>20</v>
      </c>
    </row>
    <row r="89" spans="1:9" x14ac:dyDescent="0.45">
      <c r="A89" t="s">
        <v>213</v>
      </c>
      <c r="B89" t="s">
        <v>47</v>
      </c>
      <c r="C89">
        <v>22</v>
      </c>
      <c r="D89" t="s">
        <v>66</v>
      </c>
      <c r="E89" t="s">
        <v>20</v>
      </c>
      <c r="F89" t="s">
        <v>579</v>
      </c>
      <c r="G89" t="s">
        <v>580</v>
      </c>
      <c r="H89" t="s">
        <v>581</v>
      </c>
      <c r="I89">
        <v>16</v>
      </c>
    </row>
    <row r="90" spans="1:9" x14ac:dyDescent="0.45">
      <c r="A90" t="s">
        <v>213</v>
      </c>
      <c r="B90" t="s">
        <v>52</v>
      </c>
      <c r="C90">
        <v>10</v>
      </c>
      <c r="D90" t="s">
        <v>61</v>
      </c>
      <c r="E90" t="s">
        <v>62</v>
      </c>
      <c r="F90" t="s">
        <v>582</v>
      </c>
      <c r="G90" t="s">
        <v>583</v>
      </c>
      <c r="H90" t="s">
        <v>584</v>
      </c>
      <c r="I90">
        <v>22</v>
      </c>
    </row>
    <row r="91" spans="1:9" x14ac:dyDescent="0.45">
      <c r="A91" t="s">
        <v>213</v>
      </c>
      <c r="B91" t="s">
        <v>56</v>
      </c>
      <c r="C91">
        <v>4</v>
      </c>
      <c r="D91" t="s">
        <v>13</v>
      </c>
      <c r="E91" t="s">
        <v>14</v>
      </c>
      <c r="F91" t="s">
        <v>585</v>
      </c>
      <c r="G91" t="s">
        <v>586</v>
      </c>
      <c r="H91" t="s">
        <v>81</v>
      </c>
      <c r="I91">
        <v>11</v>
      </c>
    </row>
    <row r="92" spans="1:9" x14ac:dyDescent="0.45">
      <c r="A92" t="s">
        <v>213</v>
      </c>
      <c r="B92" t="s">
        <v>60</v>
      </c>
      <c r="C92">
        <v>23</v>
      </c>
      <c r="D92" t="s">
        <v>33</v>
      </c>
      <c r="E92" t="s">
        <v>34</v>
      </c>
      <c r="F92" t="s">
        <v>587</v>
      </c>
      <c r="G92" t="s">
        <v>588</v>
      </c>
      <c r="H92" t="s">
        <v>88</v>
      </c>
      <c r="I92">
        <v>14</v>
      </c>
    </row>
    <row r="93" spans="1:9" x14ac:dyDescent="0.45">
      <c r="A93" t="s">
        <v>213</v>
      </c>
      <c r="B93" t="s">
        <v>65</v>
      </c>
      <c r="C93">
        <v>30</v>
      </c>
      <c r="D93" t="s">
        <v>80</v>
      </c>
      <c r="E93" t="s">
        <v>67</v>
      </c>
      <c r="F93" t="s">
        <v>589</v>
      </c>
      <c r="G93" t="s">
        <v>590</v>
      </c>
      <c r="H93" t="s">
        <v>88</v>
      </c>
      <c r="I93">
        <v>11</v>
      </c>
    </row>
    <row r="94" spans="1:9" x14ac:dyDescent="0.45">
      <c r="A94" t="s">
        <v>213</v>
      </c>
      <c r="B94" t="s">
        <v>70</v>
      </c>
      <c r="C94">
        <v>14</v>
      </c>
      <c r="D94" t="s">
        <v>85</v>
      </c>
      <c r="E94" t="s">
        <v>39</v>
      </c>
      <c r="F94" t="s">
        <v>591</v>
      </c>
      <c r="G94" t="s">
        <v>592</v>
      </c>
      <c r="H94" t="s">
        <v>88</v>
      </c>
      <c r="I94">
        <v>14</v>
      </c>
    </row>
    <row r="95" spans="1:9" x14ac:dyDescent="0.45">
      <c r="A95" t="s">
        <v>213</v>
      </c>
      <c r="B95" t="s">
        <v>75</v>
      </c>
      <c r="C95">
        <v>6</v>
      </c>
      <c r="D95" t="s">
        <v>90</v>
      </c>
      <c r="E95" t="s">
        <v>67</v>
      </c>
      <c r="F95" t="s">
        <v>593</v>
      </c>
      <c r="G95" t="s">
        <v>594</v>
      </c>
      <c r="H95" t="s">
        <v>88</v>
      </c>
      <c r="I95">
        <v>12</v>
      </c>
    </row>
    <row r="96" spans="1:9" x14ac:dyDescent="0.45">
      <c r="A96" t="s">
        <v>213</v>
      </c>
      <c r="B96" t="s">
        <v>120</v>
      </c>
      <c r="C96">
        <v>87</v>
      </c>
      <c r="D96" t="s">
        <v>76</v>
      </c>
      <c r="E96" t="s">
        <v>72</v>
      </c>
      <c r="F96" t="s">
        <v>595</v>
      </c>
      <c r="G96" t="s">
        <v>596</v>
      </c>
      <c r="H96" t="s">
        <v>88</v>
      </c>
      <c r="I96">
        <v>15</v>
      </c>
    </row>
    <row r="97" spans="1:9" x14ac:dyDescent="0.45">
      <c r="A97" t="s">
        <v>213</v>
      </c>
      <c r="B97" t="s">
        <v>122</v>
      </c>
      <c r="C97">
        <v>18</v>
      </c>
      <c r="D97" t="s">
        <v>38</v>
      </c>
      <c r="E97" t="s">
        <v>39</v>
      </c>
      <c r="F97" t="s">
        <v>597</v>
      </c>
      <c r="G97" t="s">
        <v>88</v>
      </c>
      <c r="H97" t="s">
        <v>88</v>
      </c>
      <c r="I97">
        <v>9</v>
      </c>
    </row>
    <row r="98" spans="1:9" x14ac:dyDescent="0.45">
      <c r="A98" t="s">
        <v>213</v>
      </c>
      <c r="B98" t="s">
        <v>163</v>
      </c>
      <c r="C98">
        <v>7</v>
      </c>
      <c r="D98" t="s">
        <v>89</v>
      </c>
      <c r="E98" t="s">
        <v>62</v>
      </c>
      <c r="F98" t="s">
        <v>598</v>
      </c>
      <c r="G98" t="s">
        <v>88</v>
      </c>
      <c r="H98" t="s">
        <v>88</v>
      </c>
      <c r="I98">
        <v>9</v>
      </c>
    </row>
    <row r="99" spans="1:9" x14ac:dyDescent="0.45">
      <c r="A99" t="s">
        <v>213</v>
      </c>
      <c r="B99" t="s">
        <v>166</v>
      </c>
      <c r="C99">
        <v>27</v>
      </c>
      <c r="D99" t="s">
        <v>43</v>
      </c>
      <c r="E99" t="s">
        <v>44</v>
      </c>
      <c r="F99" t="s">
        <v>599</v>
      </c>
      <c r="G99" t="s">
        <v>88</v>
      </c>
      <c r="H99" t="s">
        <v>88</v>
      </c>
      <c r="I99">
        <v>8</v>
      </c>
    </row>
    <row r="100" spans="1:9" x14ac:dyDescent="0.45">
      <c r="A100" t="s">
        <v>213</v>
      </c>
      <c r="B100" t="s">
        <v>169</v>
      </c>
      <c r="C100">
        <v>31</v>
      </c>
      <c r="D100" t="s">
        <v>71</v>
      </c>
      <c r="E100" t="s">
        <v>72</v>
      </c>
      <c r="F100" t="s">
        <v>600</v>
      </c>
      <c r="G100" t="s">
        <v>88</v>
      </c>
      <c r="H100" t="s">
        <v>88</v>
      </c>
      <c r="I100">
        <v>9</v>
      </c>
    </row>
    <row r="101" spans="1:9" x14ac:dyDescent="0.45">
      <c r="A101" t="s">
        <v>213</v>
      </c>
      <c r="B101" t="s">
        <v>172</v>
      </c>
      <c r="C101">
        <v>5</v>
      </c>
      <c r="D101" t="s">
        <v>83</v>
      </c>
      <c r="E101" t="s">
        <v>44</v>
      </c>
      <c r="F101" t="s">
        <v>601</v>
      </c>
      <c r="G101" t="s">
        <v>88</v>
      </c>
      <c r="H101" t="s">
        <v>88</v>
      </c>
      <c r="I101">
        <v>8</v>
      </c>
    </row>
    <row r="102" spans="1:9" x14ac:dyDescent="0.45">
      <c r="A102" t="s">
        <v>246</v>
      </c>
      <c r="B102" t="s">
        <v>12</v>
      </c>
      <c r="C102">
        <v>1</v>
      </c>
      <c r="D102" t="s">
        <v>19</v>
      </c>
      <c r="E102" t="s">
        <v>20</v>
      </c>
      <c r="F102" t="s">
        <v>602</v>
      </c>
      <c r="G102" t="s">
        <v>603</v>
      </c>
      <c r="H102" t="s">
        <v>604</v>
      </c>
      <c r="I102">
        <v>18</v>
      </c>
    </row>
    <row r="103" spans="1:9" x14ac:dyDescent="0.45">
      <c r="A103" t="s">
        <v>246</v>
      </c>
      <c r="B103" t="s">
        <v>18</v>
      </c>
      <c r="C103">
        <v>4</v>
      </c>
      <c r="D103" t="s">
        <v>13</v>
      </c>
      <c r="E103" t="s">
        <v>14</v>
      </c>
      <c r="F103" t="s">
        <v>605</v>
      </c>
      <c r="G103" t="s">
        <v>606</v>
      </c>
      <c r="H103" t="s">
        <v>607</v>
      </c>
      <c r="I103">
        <v>21</v>
      </c>
    </row>
    <row r="104" spans="1:9" x14ac:dyDescent="0.45">
      <c r="A104" t="s">
        <v>246</v>
      </c>
      <c r="B104" t="s">
        <v>23</v>
      </c>
      <c r="C104">
        <v>12</v>
      </c>
      <c r="D104" t="s">
        <v>29</v>
      </c>
      <c r="E104" t="s">
        <v>25</v>
      </c>
      <c r="F104" t="s">
        <v>608</v>
      </c>
      <c r="G104" t="s">
        <v>609</v>
      </c>
      <c r="H104" t="s">
        <v>610</v>
      </c>
      <c r="I104">
        <v>20</v>
      </c>
    </row>
    <row r="105" spans="1:9" x14ac:dyDescent="0.45">
      <c r="A105" t="s">
        <v>246</v>
      </c>
      <c r="B105" t="s">
        <v>28</v>
      </c>
      <c r="C105">
        <v>81</v>
      </c>
      <c r="D105" t="s">
        <v>53</v>
      </c>
      <c r="E105" t="s">
        <v>14</v>
      </c>
      <c r="F105" t="s">
        <v>611</v>
      </c>
      <c r="G105" t="s">
        <v>607</v>
      </c>
      <c r="H105" t="s">
        <v>612</v>
      </c>
      <c r="I105">
        <v>16</v>
      </c>
    </row>
    <row r="106" spans="1:9" x14ac:dyDescent="0.45">
      <c r="A106" t="s">
        <v>246</v>
      </c>
      <c r="B106" t="s">
        <v>32</v>
      </c>
      <c r="C106">
        <v>63</v>
      </c>
      <c r="D106" t="s">
        <v>24</v>
      </c>
      <c r="E106" t="s">
        <v>25</v>
      </c>
      <c r="F106" t="s">
        <v>613</v>
      </c>
      <c r="G106" t="s">
        <v>614</v>
      </c>
      <c r="H106" t="s">
        <v>615</v>
      </c>
      <c r="I106">
        <v>20</v>
      </c>
    </row>
    <row r="107" spans="1:9" x14ac:dyDescent="0.45">
      <c r="A107" t="s">
        <v>246</v>
      </c>
      <c r="B107" t="s">
        <v>37</v>
      </c>
      <c r="C107">
        <v>55</v>
      </c>
      <c r="D107" t="s">
        <v>87</v>
      </c>
      <c r="E107" t="s">
        <v>34</v>
      </c>
      <c r="F107" t="s">
        <v>616</v>
      </c>
      <c r="G107" t="s">
        <v>617</v>
      </c>
      <c r="H107" t="s">
        <v>618</v>
      </c>
      <c r="I107">
        <v>20</v>
      </c>
    </row>
    <row r="108" spans="1:9" x14ac:dyDescent="0.45">
      <c r="A108" t="s">
        <v>246</v>
      </c>
      <c r="B108" t="s">
        <v>42</v>
      </c>
      <c r="C108">
        <v>23</v>
      </c>
      <c r="D108" t="s">
        <v>33</v>
      </c>
      <c r="E108" t="s">
        <v>34</v>
      </c>
      <c r="F108" t="s">
        <v>619</v>
      </c>
      <c r="G108" t="s">
        <v>620</v>
      </c>
      <c r="H108" t="s">
        <v>621</v>
      </c>
      <c r="I108">
        <v>20</v>
      </c>
    </row>
    <row r="109" spans="1:9" x14ac:dyDescent="0.45">
      <c r="A109" t="s">
        <v>246</v>
      </c>
      <c r="B109" t="s">
        <v>47</v>
      </c>
      <c r="C109">
        <v>16</v>
      </c>
      <c r="D109" t="s">
        <v>48</v>
      </c>
      <c r="E109" t="s">
        <v>49</v>
      </c>
      <c r="F109" t="s">
        <v>622</v>
      </c>
      <c r="G109" t="s">
        <v>623</v>
      </c>
      <c r="H109" t="s">
        <v>624</v>
      </c>
      <c r="I109">
        <v>20</v>
      </c>
    </row>
    <row r="110" spans="1:9" x14ac:dyDescent="0.45">
      <c r="A110" t="s">
        <v>246</v>
      </c>
      <c r="B110" t="s">
        <v>52</v>
      </c>
      <c r="C110">
        <v>31</v>
      </c>
      <c r="D110" t="s">
        <v>71</v>
      </c>
      <c r="E110" t="s">
        <v>72</v>
      </c>
      <c r="F110" t="s">
        <v>625</v>
      </c>
      <c r="G110" t="s">
        <v>626</v>
      </c>
      <c r="H110" t="s">
        <v>627</v>
      </c>
      <c r="I110">
        <v>21</v>
      </c>
    </row>
    <row r="111" spans="1:9" x14ac:dyDescent="0.45">
      <c r="A111" t="s">
        <v>246</v>
      </c>
      <c r="B111" t="s">
        <v>56</v>
      </c>
      <c r="C111">
        <v>22</v>
      </c>
      <c r="D111" t="s">
        <v>66</v>
      </c>
      <c r="E111" t="s">
        <v>20</v>
      </c>
      <c r="F111" t="s">
        <v>628</v>
      </c>
      <c r="G111" t="s">
        <v>629</v>
      </c>
      <c r="H111" t="s">
        <v>630</v>
      </c>
      <c r="I111">
        <v>21</v>
      </c>
    </row>
    <row r="112" spans="1:9" x14ac:dyDescent="0.45">
      <c r="A112" t="s">
        <v>246</v>
      </c>
      <c r="B112" t="s">
        <v>60</v>
      </c>
      <c r="C112">
        <v>6</v>
      </c>
      <c r="D112" t="s">
        <v>90</v>
      </c>
      <c r="E112" t="s">
        <v>67</v>
      </c>
      <c r="F112" t="s">
        <v>631</v>
      </c>
      <c r="G112" t="s">
        <v>632</v>
      </c>
      <c r="H112" t="s">
        <v>88</v>
      </c>
      <c r="I112">
        <v>13</v>
      </c>
    </row>
    <row r="113" spans="1:9" x14ac:dyDescent="0.45">
      <c r="A113" t="s">
        <v>246</v>
      </c>
      <c r="B113" t="s">
        <v>65</v>
      </c>
      <c r="C113">
        <v>44</v>
      </c>
      <c r="D113" t="s">
        <v>57</v>
      </c>
      <c r="E113" t="s">
        <v>49</v>
      </c>
      <c r="F113" t="s">
        <v>633</v>
      </c>
      <c r="G113" t="s">
        <v>611</v>
      </c>
      <c r="H113" t="s">
        <v>88</v>
      </c>
      <c r="I113">
        <v>15</v>
      </c>
    </row>
    <row r="114" spans="1:9" x14ac:dyDescent="0.45">
      <c r="A114" t="s">
        <v>246</v>
      </c>
      <c r="B114" t="s">
        <v>70</v>
      </c>
      <c r="C114">
        <v>5</v>
      </c>
      <c r="D114" t="s">
        <v>83</v>
      </c>
      <c r="E114" t="s">
        <v>44</v>
      </c>
      <c r="F114" t="s">
        <v>634</v>
      </c>
      <c r="G114" t="s">
        <v>635</v>
      </c>
      <c r="H114" t="s">
        <v>88</v>
      </c>
      <c r="I114">
        <v>15</v>
      </c>
    </row>
    <row r="115" spans="1:9" x14ac:dyDescent="0.45">
      <c r="A115" t="s">
        <v>246</v>
      </c>
      <c r="B115" t="s">
        <v>75</v>
      </c>
      <c r="C115">
        <v>7</v>
      </c>
      <c r="D115" t="s">
        <v>89</v>
      </c>
      <c r="E115" t="s">
        <v>62</v>
      </c>
      <c r="F115" t="s">
        <v>636</v>
      </c>
      <c r="G115" t="s">
        <v>637</v>
      </c>
      <c r="H115" t="s">
        <v>88</v>
      </c>
      <c r="I115">
        <v>15</v>
      </c>
    </row>
    <row r="116" spans="1:9" x14ac:dyDescent="0.45">
      <c r="A116" t="s">
        <v>246</v>
      </c>
      <c r="B116" t="s">
        <v>120</v>
      </c>
      <c r="C116">
        <v>30</v>
      </c>
      <c r="D116" t="s">
        <v>80</v>
      </c>
      <c r="E116" t="s">
        <v>67</v>
      </c>
      <c r="F116" t="s">
        <v>638</v>
      </c>
      <c r="G116" t="s">
        <v>639</v>
      </c>
      <c r="H116" t="s">
        <v>88</v>
      </c>
      <c r="I116">
        <v>14</v>
      </c>
    </row>
    <row r="117" spans="1:9" x14ac:dyDescent="0.45">
      <c r="A117" t="s">
        <v>246</v>
      </c>
      <c r="B117" t="s">
        <v>122</v>
      </c>
      <c r="C117">
        <v>27</v>
      </c>
      <c r="D117" t="s">
        <v>43</v>
      </c>
      <c r="E117" t="s">
        <v>44</v>
      </c>
      <c r="F117" t="s">
        <v>640</v>
      </c>
      <c r="G117" t="s">
        <v>88</v>
      </c>
      <c r="H117" t="s">
        <v>88</v>
      </c>
      <c r="I117">
        <v>9</v>
      </c>
    </row>
    <row r="118" spans="1:9" x14ac:dyDescent="0.45">
      <c r="A118" t="s">
        <v>246</v>
      </c>
      <c r="B118" t="s">
        <v>163</v>
      </c>
      <c r="C118">
        <v>14</v>
      </c>
      <c r="D118" t="s">
        <v>85</v>
      </c>
      <c r="E118" t="s">
        <v>39</v>
      </c>
      <c r="F118" t="s">
        <v>641</v>
      </c>
      <c r="G118" t="s">
        <v>88</v>
      </c>
      <c r="H118" t="s">
        <v>88</v>
      </c>
      <c r="I118">
        <v>9</v>
      </c>
    </row>
    <row r="119" spans="1:9" x14ac:dyDescent="0.45">
      <c r="A119" t="s">
        <v>246</v>
      </c>
      <c r="B119" t="s">
        <v>166</v>
      </c>
      <c r="C119">
        <v>10</v>
      </c>
      <c r="D119" t="s">
        <v>61</v>
      </c>
      <c r="E119" t="s">
        <v>62</v>
      </c>
      <c r="F119" t="s">
        <v>642</v>
      </c>
      <c r="G119" t="s">
        <v>88</v>
      </c>
      <c r="H119" t="s">
        <v>88</v>
      </c>
      <c r="I119">
        <v>9</v>
      </c>
    </row>
    <row r="120" spans="1:9" x14ac:dyDescent="0.45">
      <c r="A120" t="s">
        <v>246</v>
      </c>
      <c r="B120" t="s">
        <v>169</v>
      </c>
      <c r="C120">
        <v>18</v>
      </c>
      <c r="D120" t="s">
        <v>38</v>
      </c>
      <c r="E120" t="s">
        <v>39</v>
      </c>
      <c r="F120" t="s">
        <v>643</v>
      </c>
      <c r="G120" t="s">
        <v>88</v>
      </c>
      <c r="H120" t="s">
        <v>88</v>
      </c>
      <c r="I120">
        <v>9</v>
      </c>
    </row>
    <row r="121" spans="1:9" x14ac:dyDescent="0.45">
      <c r="A121" t="s">
        <v>246</v>
      </c>
      <c r="B121" t="s">
        <v>172</v>
      </c>
      <c r="C121">
        <v>87</v>
      </c>
      <c r="D121" t="s">
        <v>76</v>
      </c>
      <c r="E121" t="s">
        <v>72</v>
      </c>
      <c r="F121" t="s">
        <v>644</v>
      </c>
      <c r="G121" t="s">
        <v>88</v>
      </c>
      <c r="H121" t="s">
        <v>88</v>
      </c>
      <c r="I121">
        <v>9</v>
      </c>
    </row>
    <row r="122" spans="1:9" x14ac:dyDescent="0.45">
      <c r="A122" t="s">
        <v>278</v>
      </c>
      <c r="B122" t="s">
        <v>12</v>
      </c>
      <c r="C122">
        <v>81</v>
      </c>
      <c r="D122" t="s">
        <v>53</v>
      </c>
      <c r="E122" t="s">
        <v>14</v>
      </c>
      <c r="F122" t="s">
        <v>645</v>
      </c>
      <c r="G122" t="s">
        <v>646</v>
      </c>
      <c r="H122" t="s">
        <v>647</v>
      </c>
      <c r="I122">
        <v>18</v>
      </c>
    </row>
    <row r="123" spans="1:9" x14ac:dyDescent="0.45">
      <c r="A123" t="s">
        <v>278</v>
      </c>
      <c r="B123" t="s">
        <v>18</v>
      </c>
      <c r="C123">
        <v>1</v>
      </c>
      <c r="D123" t="s">
        <v>19</v>
      </c>
      <c r="E123" t="s">
        <v>648</v>
      </c>
      <c r="F123" t="s">
        <v>649</v>
      </c>
      <c r="G123" t="s">
        <v>650</v>
      </c>
      <c r="H123" t="s">
        <v>651</v>
      </c>
      <c r="I123">
        <v>17</v>
      </c>
    </row>
    <row r="124" spans="1:9" x14ac:dyDescent="0.45">
      <c r="A124" t="s">
        <v>278</v>
      </c>
      <c r="B124" t="s">
        <v>23</v>
      </c>
      <c r="C124">
        <v>63</v>
      </c>
      <c r="D124" t="s">
        <v>24</v>
      </c>
      <c r="E124" t="s">
        <v>25</v>
      </c>
      <c r="F124" t="s">
        <v>652</v>
      </c>
      <c r="G124" t="s">
        <v>653</v>
      </c>
      <c r="H124" t="s">
        <v>654</v>
      </c>
      <c r="I124">
        <v>17</v>
      </c>
    </row>
    <row r="125" spans="1:9" x14ac:dyDescent="0.45">
      <c r="A125" t="s">
        <v>278</v>
      </c>
      <c r="B125" t="s">
        <v>28</v>
      </c>
      <c r="C125">
        <v>4</v>
      </c>
      <c r="D125" t="s">
        <v>13</v>
      </c>
      <c r="E125" t="s">
        <v>14</v>
      </c>
      <c r="F125" t="s">
        <v>655</v>
      </c>
      <c r="G125" t="s">
        <v>656</v>
      </c>
      <c r="H125" t="s">
        <v>657</v>
      </c>
      <c r="I125">
        <v>19</v>
      </c>
    </row>
    <row r="126" spans="1:9" x14ac:dyDescent="0.45">
      <c r="A126" t="s">
        <v>278</v>
      </c>
      <c r="B126" t="s">
        <v>32</v>
      </c>
      <c r="C126">
        <v>14</v>
      </c>
      <c r="D126" t="s">
        <v>85</v>
      </c>
      <c r="E126" t="s">
        <v>39</v>
      </c>
      <c r="F126" t="s">
        <v>658</v>
      </c>
      <c r="G126" t="s">
        <v>659</v>
      </c>
      <c r="H126" t="s">
        <v>660</v>
      </c>
      <c r="I126">
        <v>19</v>
      </c>
    </row>
    <row r="127" spans="1:9" x14ac:dyDescent="0.45">
      <c r="A127" t="s">
        <v>278</v>
      </c>
      <c r="B127" t="s">
        <v>37</v>
      </c>
      <c r="C127">
        <v>55</v>
      </c>
      <c r="D127" t="s">
        <v>87</v>
      </c>
      <c r="E127" t="s">
        <v>34</v>
      </c>
      <c r="F127" t="s">
        <v>661</v>
      </c>
      <c r="G127" t="s">
        <v>662</v>
      </c>
      <c r="H127" t="s">
        <v>663</v>
      </c>
      <c r="I127">
        <v>21</v>
      </c>
    </row>
    <row r="128" spans="1:9" x14ac:dyDescent="0.45">
      <c r="A128" t="s">
        <v>278</v>
      </c>
      <c r="B128" t="s">
        <v>42</v>
      </c>
      <c r="C128">
        <v>23</v>
      </c>
      <c r="D128" t="s">
        <v>33</v>
      </c>
      <c r="E128" t="s">
        <v>34</v>
      </c>
      <c r="F128" t="s">
        <v>664</v>
      </c>
      <c r="G128" t="s">
        <v>665</v>
      </c>
      <c r="H128" t="s">
        <v>666</v>
      </c>
      <c r="I128">
        <v>20</v>
      </c>
    </row>
    <row r="129" spans="1:9" x14ac:dyDescent="0.45">
      <c r="A129" t="s">
        <v>278</v>
      </c>
      <c r="B129" t="s">
        <v>47</v>
      </c>
      <c r="C129">
        <v>18</v>
      </c>
      <c r="D129" t="s">
        <v>38</v>
      </c>
      <c r="E129" t="s">
        <v>39</v>
      </c>
      <c r="F129" t="s">
        <v>667</v>
      </c>
      <c r="G129" t="s">
        <v>668</v>
      </c>
      <c r="H129" t="s">
        <v>669</v>
      </c>
      <c r="I129">
        <v>21</v>
      </c>
    </row>
    <row r="130" spans="1:9" x14ac:dyDescent="0.45">
      <c r="A130" t="s">
        <v>278</v>
      </c>
      <c r="B130" t="s">
        <v>52</v>
      </c>
      <c r="C130">
        <v>6</v>
      </c>
      <c r="D130" t="s">
        <v>90</v>
      </c>
      <c r="E130" t="s">
        <v>67</v>
      </c>
      <c r="F130" t="s">
        <v>670</v>
      </c>
      <c r="G130" t="s">
        <v>671</v>
      </c>
      <c r="H130" t="s">
        <v>672</v>
      </c>
      <c r="I130">
        <v>17</v>
      </c>
    </row>
    <row r="131" spans="1:9" x14ac:dyDescent="0.45">
      <c r="A131" t="s">
        <v>278</v>
      </c>
      <c r="B131" t="s">
        <v>56</v>
      </c>
      <c r="C131">
        <v>10</v>
      </c>
      <c r="D131" t="s">
        <v>61</v>
      </c>
      <c r="E131" t="s">
        <v>62</v>
      </c>
      <c r="F131" t="s">
        <v>673</v>
      </c>
      <c r="G131" t="s">
        <v>674</v>
      </c>
      <c r="H131" t="s">
        <v>675</v>
      </c>
      <c r="I131">
        <v>17</v>
      </c>
    </row>
    <row r="132" spans="1:9" x14ac:dyDescent="0.45">
      <c r="A132" t="s">
        <v>278</v>
      </c>
      <c r="B132" t="s">
        <v>60</v>
      </c>
      <c r="C132">
        <v>16</v>
      </c>
      <c r="D132" t="s">
        <v>48</v>
      </c>
      <c r="E132" t="s">
        <v>49</v>
      </c>
      <c r="F132" t="s">
        <v>676</v>
      </c>
      <c r="G132" t="s">
        <v>677</v>
      </c>
      <c r="H132" t="s">
        <v>88</v>
      </c>
      <c r="I132">
        <v>14</v>
      </c>
    </row>
    <row r="133" spans="1:9" x14ac:dyDescent="0.45">
      <c r="A133" t="s">
        <v>278</v>
      </c>
      <c r="B133" t="s">
        <v>65</v>
      </c>
      <c r="C133">
        <v>44</v>
      </c>
      <c r="D133" t="s">
        <v>57</v>
      </c>
      <c r="E133" t="s">
        <v>49</v>
      </c>
      <c r="F133" t="s">
        <v>678</v>
      </c>
      <c r="G133" t="s">
        <v>679</v>
      </c>
      <c r="H133" t="s">
        <v>88</v>
      </c>
      <c r="I133">
        <v>14</v>
      </c>
    </row>
    <row r="134" spans="1:9" x14ac:dyDescent="0.45">
      <c r="A134" t="s">
        <v>278</v>
      </c>
      <c r="B134" t="s">
        <v>70</v>
      </c>
      <c r="C134">
        <v>12</v>
      </c>
      <c r="D134" t="s">
        <v>29</v>
      </c>
      <c r="E134" t="s">
        <v>25</v>
      </c>
      <c r="F134" t="s">
        <v>680</v>
      </c>
      <c r="G134" t="s">
        <v>681</v>
      </c>
      <c r="H134" t="s">
        <v>88</v>
      </c>
      <c r="I134">
        <v>13</v>
      </c>
    </row>
    <row r="135" spans="1:9" x14ac:dyDescent="0.45">
      <c r="A135" t="s">
        <v>278</v>
      </c>
      <c r="B135" t="s">
        <v>75</v>
      </c>
      <c r="C135">
        <v>5</v>
      </c>
      <c r="D135" t="s">
        <v>83</v>
      </c>
      <c r="E135" t="s">
        <v>44</v>
      </c>
      <c r="F135" t="s">
        <v>682</v>
      </c>
      <c r="G135" t="s">
        <v>683</v>
      </c>
      <c r="H135" t="s">
        <v>88</v>
      </c>
      <c r="I135">
        <v>15</v>
      </c>
    </row>
    <row r="136" spans="1:9" x14ac:dyDescent="0.45">
      <c r="A136" t="s">
        <v>278</v>
      </c>
      <c r="B136" t="s">
        <v>120</v>
      </c>
      <c r="C136">
        <v>43</v>
      </c>
      <c r="D136" t="s">
        <v>308</v>
      </c>
      <c r="E136" t="s">
        <v>62</v>
      </c>
      <c r="F136" t="s">
        <v>684</v>
      </c>
      <c r="G136" t="s">
        <v>88</v>
      </c>
      <c r="H136" t="s">
        <v>88</v>
      </c>
      <c r="I136">
        <v>5</v>
      </c>
    </row>
    <row r="137" spans="1:9" x14ac:dyDescent="0.45">
      <c r="A137" t="s">
        <v>278</v>
      </c>
      <c r="B137" t="s">
        <v>122</v>
      </c>
      <c r="C137">
        <v>30</v>
      </c>
      <c r="D137" t="s">
        <v>80</v>
      </c>
      <c r="E137" t="s">
        <v>67</v>
      </c>
      <c r="F137" t="s">
        <v>685</v>
      </c>
      <c r="G137" t="s">
        <v>88</v>
      </c>
      <c r="H137" t="s">
        <v>88</v>
      </c>
      <c r="I137">
        <v>6</v>
      </c>
    </row>
    <row r="138" spans="1:9" x14ac:dyDescent="0.45">
      <c r="A138" t="s">
        <v>278</v>
      </c>
      <c r="B138" t="s">
        <v>163</v>
      </c>
      <c r="C138">
        <v>27</v>
      </c>
      <c r="D138" t="s">
        <v>43</v>
      </c>
      <c r="E138" t="s">
        <v>44</v>
      </c>
      <c r="F138" t="s">
        <v>686</v>
      </c>
      <c r="G138" t="s">
        <v>88</v>
      </c>
      <c r="H138" t="s">
        <v>88</v>
      </c>
      <c r="I138">
        <v>9</v>
      </c>
    </row>
    <row r="139" spans="1:9" x14ac:dyDescent="0.45">
      <c r="A139" t="s">
        <v>278</v>
      </c>
      <c r="B139" t="s">
        <v>166</v>
      </c>
      <c r="C139">
        <v>31</v>
      </c>
      <c r="D139" t="s">
        <v>71</v>
      </c>
      <c r="E139" t="s">
        <v>72</v>
      </c>
      <c r="F139" t="s">
        <v>687</v>
      </c>
      <c r="G139" t="s">
        <v>88</v>
      </c>
      <c r="H139" t="s">
        <v>88</v>
      </c>
      <c r="I139">
        <v>9</v>
      </c>
    </row>
    <row r="140" spans="1:9" x14ac:dyDescent="0.45">
      <c r="A140" t="s">
        <v>278</v>
      </c>
      <c r="B140" t="s">
        <v>169</v>
      </c>
      <c r="C140">
        <v>87</v>
      </c>
      <c r="D140" t="s">
        <v>76</v>
      </c>
      <c r="E140" t="s">
        <v>72</v>
      </c>
      <c r="F140" t="s">
        <v>688</v>
      </c>
      <c r="G140" t="s">
        <v>88</v>
      </c>
      <c r="H140" t="s">
        <v>88</v>
      </c>
      <c r="I140">
        <v>8</v>
      </c>
    </row>
    <row r="141" spans="1:9" x14ac:dyDescent="0.45">
      <c r="A141" t="s">
        <v>278</v>
      </c>
      <c r="B141" t="s">
        <v>79</v>
      </c>
      <c r="C141">
        <v>22</v>
      </c>
      <c r="D141" t="s">
        <v>66</v>
      </c>
      <c r="E141" t="s">
        <v>20</v>
      </c>
      <c r="F141" t="s">
        <v>81</v>
      </c>
      <c r="G141" t="s">
        <v>88</v>
      </c>
      <c r="H141" t="s">
        <v>88</v>
      </c>
      <c r="I141">
        <v>2</v>
      </c>
    </row>
    <row r="142" spans="1:9" x14ac:dyDescent="0.45">
      <c r="A142" t="s">
        <v>317</v>
      </c>
      <c r="B142" t="s">
        <v>12</v>
      </c>
      <c r="C142">
        <v>4</v>
      </c>
      <c r="D142" t="s">
        <v>13</v>
      </c>
      <c r="E142" t="s">
        <v>14</v>
      </c>
      <c r="F142" t="s">
        <v>689</v>
      </c>
      <c r="G142" t="s">
        <v>690</v>
      </c>
      <c r="H142" t="s">
        <v>691</v>
      </c>
      <c r="I142">
        <v>27</v>
      </c>
    </row>
    <row r="143" spans="1:9" x14ac:dyDescent="0.45">
      <c r="A143" t="s">
        <v>317</v>
      </c>
      <c r="B143" t="s">
        <v>18</v>
      </c>
      <c r="C143">
        <v>16</v>
      </c>
      <c r="D143" t="s">
        <v>48</v>
      </c>
      <c r="E143" t="s">
        <v>49</v>
      </c>
      <c r="F143" t="s">
        <v>692</v>
      </c>
      <c r="G143" t="s">
        <v>693</v>
      </c>
      <c r="H143" t="s">
        <v>694</v>
      </c>
      <c r="I143">
        <v>27</v>
      </c>
    </row>
    <row r="144" spans="1:9" x14ac:dyDescent="0.45">
      <c r="A144" t="s">
        <v>317</v>
      </c>
      <c r="B144" t="s">
        <v>23</v>
      </c>
      <c r="C144">
        <v>81</v>
      </c>
      <c r="D144" t="s">
        <v>53</v>
      </c>
      <c r="E144" t="s">
        <v>14</v>
      </c>
      <c r="F144" t="s">
        <v>695</v>
      </c>
      <c r="G144" t="s">
        <v>696</v>
      </c>
      <c r="H144" t="s">
        <v>697</v>
      </c>
      <c r="I144">
        <v>29</v>
      </c>
    </row>
    <row r="145" spans="1:9" x14ac:dyDescent="0.45">
      <c r="A145" t="s">
        <v>317</v>
      </c>
      <c r="B145" t="s">
        <v>28</v>
      </c>
      <c r="C145">
        <v>44</v>
      </c>
      <c r="D145" t="s">
        <v>57</v>
      </c>
      <c r="E145" t="s">
        <v>49</v>
      </c>
      <c r="F145" t="s">
        <v>698</v>
      </c>
      <c r="G145" t="s">
        <v>699</v>
      </c>
      <c r="H145" t="s">
        <v>700</v>
      </c>
      <c r="I145">
        <v>28</v>
      </c>
    </row>
    <row r="146" spans="1:9" x14ac:dyDescent="0.45">
      <c r="A146" t="s">
        <v>317</v>
      </c>
      <c r="B146" t="s">
        <v>32</v>
      </c>
      <c r="C146">
        <v>1</v>
      </c>
      <c r="D146" t="s">
        <v>19</v>
      </c>
      <c r="E146" t="s">
        <v>20</v>
      </c>
      <c r="F146" t="s">
        <v>701</v>
      </c>
      <c r="G146" t="s">
        <v>702</v>
      </c>
      <c r="H146" t="s">
        <v>703</v>
      </c>
      <c r="I146">
        <v>21</v>
      </c>
    </row>
    <row r="147" spans="1:9" x14ac:dyDescent="0.45">
      <c r="A147" t="s">
        <v>317</v>
      </c>
      <c r="B147" t="s">
        <v>37</v>
      </c>
      <c r="C147">
        <v>6</v>
      </c>
      <c r="D147" t="s">
        <v>90</v>
      </c>
      <c r="E147" t="s">
        <v>67</v>
      </c>
      <c r="F147" t="s">
        <v>704</v>
      </c>
      <c r="G147" t="s">
        <v>705</v>
      </c>
      <c r="H147" t="s">
        <v>706</v>
      </c>
      <c r="I147">
        <v>27</v>
      </c>
    </row>
    <row r="148" spans="1:9" x14ac:dyDescent="0.45">
      <c r="A148" t="s">
        <v>317</v>
      </c>
      <c r="B148" t="s">
        <v>42</v>
      </c>
      <c r="C148">
        <v>14</v>
      </c>
      <c r="D148" t="s">
        <v>85</v>
      </c>
      <c r="E148" t="s">
        <v>39</v>
      </c>
      <c r="F148" t="s">
        <v>707</v>
      </c>
      <c r="G148" t="s">
        <v>708</v>
      </c>
      <c r="H148" t="s">
        <v>709</v>
      </c>
      <c r="I148">
        <v>30</v>
      </c>
    </row>
    <row r="149" spans="1:9" x14ac:dyDescent="0.45">
      <c r="A149" t="s">
        <v>317</v>
      </c>
      <c r="B149" t="s">
        <v>47</v>
      </c>
      <c r="C149">
        <v>31</v>
      </c>
      <c r="D149" t="s">
        <v>71</v>
      </c>
      <c r="E149" t="s">
        <v>72</v>
      </c>
      <c r="F149" t="s">
        <v>710</v>
      </c>
      <c r="G149" t="s">
        <v>711</v>
      </c>
      <c r="H149" t="s">
        <v>712</v>
      </c>
      <c r="I149">
        <v>32</v>
      </c>
    </row>
    <row r="150" spans="1:9" x14ac:dyDescent="0.45">
      <c r="A150" t="s">
        <v>317</v>
      </c>
      <c r="B150" t="s">
        <v>52</v>
      </c>
      <c r="C150">
        <v>30</v>
      </c>
      <c r="D150" t="s">
        <v>80</v>
      </c>
      <c r="E150" t="s">
        <v>67</v>
      </c>
      <c r="F150" t="s">
        <v>713</v>
      </c>
      <c r="G150" t="s">
        <v>714</v>
      </c>
      <c r="H150" t="s">
        <v>715</v>
      </c>
      <c r="I150">
        <v>26</v>
      </c>
    </row>
    <row r="151" spans="1:9" x14ac:dyDescent="0.45">
      <c r="A151" t="s">
        <v>317</v>
      </c>
      <c r="B151" t="s">
        <v>56</v>
      </c>
      <c r="C151">
        <v>23</v>
      </c>
      <c r="D151" t="s">
        <v>33</v>
      </c>
      <c r="E151" t="s">
        <v>34</v>
      </c>
      <c r="F151" t="s">
        <v>716</v>
      </c>
      <c r="G151" t="s">
        <v>717</v>
      </c>
      <c r="H151" t="s">
        <v>718</v>
      </c>
      <c r="I151">
        <v>34</v>
      </c>
    </row>
    <row r="152" spans="1:9" x14ac:dyDescent="0.45">
      <c r="A152" t="s">
        <v>317</v>
      </c>
      <c r="B152" t="s">
        <v>60</v>
      </c>
      <c r="C152">
        <v>55</v>
      </c>
      <c r="D152" t="s">
        <v>87</v>
      </c>
      <c r="E152" t="s">
        <v>34</v>
      </c>
      <c r="F152" t="s">
        <v>719</v>
      </c>
      <c r="G152" t="s">
        <v>720</v>
      </c>
      <c r="H152" t="s">
        <v>88</v>
      </c>
      <c r="I152">
        <v>25</v>
      </c>
    </row>
    <row r="153" spans="1:9" x14ac:dyDescent="0.45">
      <c r="A153" t="s">
        <v>317</v>
      </c>
      <c r="B153" t="s">
        <v>65</v>
      </c>
      <c r="C153">
        <v>22</v>
      </c>
      <c r="D153" t="s">
        <v>66</v>
      </c>
      <c r="E153" t="s">
        <v>20</v>
      </c>
      <c r="F153" t="s">
        <v>721</v>
      </c>
      <c r="G153" t="s">
        <v>722</v>
      </c>
      <c r="H153" t="s">
        <v>88</v>
      </c>
      <c r="I153">
        <v>20</v>
      </c>
    </row>
    <row r="154" spans="1:9" x14ac:dyDescent="0.45">
      <c r="A154" t="s">
        <v>317</v>
      </c>
      <c r="B154" t="s">
        <v>70</v>
      </c>
      <c r="C154">
        <v>27</v>
      </c>
      <c r="D154" t="s">
        <v>43</v>
      </c>
      <c r="E154" t="s">
        <v>44</v>
      </c>
      <c r="F154" t="s">
        <v>723</v>
      </c>
      <c r="G154" t="s">
        <v>724</v>
      </c>
      <c r="H154" t="s">
        <v>88</v>
      </c>
      <c r="I154">
        <v>23</v>
      </c>
    </row>
    <row r="155" spans="1:9" x14ac:dyDescent="0.45">
      <c r="A155" t="s">
        <v>317</v>
      </c>
      <c r="B155" t="s">
        <v>75</v>
      </c>
      <c r="C155">
        <v>63</v>
      </c>
      <c r="D155" t="s">
        <v>24</v>
      </c>
      <c r="E155" t="s">
        <v>25</v>
      </c>
      <c r="F155" t="s">
        <v>725</v>
      </c>
      <c r="G155" t="s">
        <v>81</v>
      </c>
      <c r="H155" t="s">
        <v>88</v>
      </c>
      <c r="I155">
        <v>13</v>
      </c>
    </row>
    <row r="156" spans="1:9" x14ac:dyDescent="0.45">
      <c r="A156" t="s">
        <v>317</v>
      </c>
      <c r="B156" t="s">
        <v>120</v>
      </c>
      <c r="C156">
        <v>12</v>
      </c>
      <c r="D156" t="s">
        <v>29</v>
      </c>
      <c r="E156" t="s">
        <v>25</v>
      </c>
      <c r="F156" t="s">
        <v>726</v>
      </c>
      <c r="G156" t="s">
        <v>88</v>
      </c>
      <c r="H156" t="s">
        <v>88</v>
      </c>
      <c r="I156">
        <v>11</v>
      </c>
    </row>
    <row r="157" spans="1:9" x14ac:dyDescent="0.45">
      <c r="A157" t="s">
        <v>317</v>
      </c>
      <c r="B157" t="s">
        <v>122</v>
      </c>
      <c r="C157">
        <v>5</v>
      </c>
      <c r="D157" t="s">
        <v>83</v>
      </c>
      <c r="E157" t="s">
        <v>44</v>
      </c>
      <c r="F157" t="s">
        <v>727</v>
      </c>
      <c r="G157" t="s">
        <v>88</v>
      </c>
      <c r="H157" t="s">
        <v>88</v>
      </c>
      <c r="I157">
        <v>13</v>
      </c>
    </row>
    <row r="158" spans="1:9" x14ac:dyDescent="0.45">
      <c r="A158" t="s">
        <v>317</v>
      </c>
      <c r="B158" t="s">
        <v>163</v>
      </c>
      <c r="C158">
        <v>87</v>
      </c>
      <c r="D158" t="s">
        <v>76</v>
      </c>
      <c r="E158" t="s">
        <v>72</v>
      </c>
      <c r="F158" t="s">
        <v>728</v>
      </c>
      <c r="G158" t="s">
        <v>88</v>
      </c>
      <c r="H158" t="s">
        <v>88</v>
      </c>
      <c r="I158">
        <v>13</v>
      </c>
    </row>
    <row r="159" spans="1:9" x14ac:dyDescent="0.45">
      <c r="A159" t="s">
        <v>317</v>
      </c>
      <c r="B159" t="s">
        <v>166</v>
      </c>
      <c r="C159">
        <v>10</v>
      </c>
      <c r="D159" t="s">
        <v>61</v>
      </c>
      <c r="E159" t="s">
        <v>62</v>
      </c>
      <c r="F159" t="s">
        <v>729</v>
      </c>
      <c r="G159" t="s">
        <v>88</v>
      </c>
      <c r="H159" t="s">
        <v>88</v>
      </c>
      <c r="I159">
        <v>11</v>
      </c>
    </row>
    <row r="160" spans="1:9" x14ac:dyDescent="0.45">
      <c r="A160" t="s">
        <v>317</v>
      </c>
      <c r="B160" t="s">
        <v>169</v>
      </c>
      <c r="C160">
        <v>18</v>
      </c>
      <c r="D160" t="s">
        <v>38</v>
      </c>
      <c r="E160" t="s">
        <v>39</v>
      </c>
      <c r="F160" t="s">
        <v>730</v>
      </c>
      <c r="G160" t="s">
        <v>88</v>
      </c>
      <c r="H160" t="s">
        <v>88</v>
      </c>
      <c r="I160">
        <v>11</v>
      </c>
    </row>
    <row r="161" spans="1:9" x14ac:dyDescent="0.45">
      <c r="A161" t="s">
        <v>317</v>
      </c>
      <c r="B161" t="s">
        <v>172</v>
      </c>
      <c r="C161">
        <v>43</v>
      </c>
      <c r="D161" t="s">
        <v>308</v>
      </c>
      <c r="E161" t="s">
        <v>62</v>
      </c>
      <c r="F161" t="s">
        <v>731</v>
      </c>
      <c r="G161" t="s">
        <v>88</v>
      </c>
      <c r="H161" t="s">
        <v>88</v>
      </c>
      <c r="I161">
        <v>12</v>
      </c>
    </row>
    <row r="162" spans="1:9" x14ac:dyDescent="0.45">
      <c r="A162" t="s">
        <v>345</v>
      </c>
      <c r="B162" t="s">
        <v>12</v>
      </c>
      <c r="C162">
        <v>81</v>
      </c>
      <c r="D162" t="s">
        <v>53</v>
      </c>
      <c r="E162" t="s">
        <v>14</v>
      </c>
      <c r="F162" t="s">
        <v>732</v>
      </c>
      <c r="G162" t="s">
        <v>733</v>
      </c>
      <c r="H162" t="s">
        <v>734</v>
      </c>
      <c r="I162">
        <v>14</v>
      </c>
    </row>
    <row r="163" spans="1:9" x14ac:dyDescent="0.45">
      <c r="A163" t="s">
        <v>345</v>
      </c>
      <c r="B163" t="s">
        <v>18</v>
      </c>
      <c r="C163">
        <v>4</v>
      </c>
      <c r="D163" t="s">
        <v>13</v>
      </c>
      <c r="E163" t="s">
        <v>14</v>
      </c>
      <c r="F163" t="s">
        <v>735</v>
      </c>
      <c r="G163" t="s">
        <v>736</v>
      </c>
      <c r="H163" t="s">
        <v>737</v>
      </c>
      <c r="I163">
        <v>15</v>
      </c>
    </row>
    <row r="164" spans="1:9" x14ac:dyDescent="0.45">
      <c r="A164" t="s">
        <v>345</v>
      </c>
      <c r="B164" t="s">
        <v>23</v>
      </c>
      <c r="C164">
        <v>1</v>
      </c>
      <c r="D164" t="s">
        <v>19</v>
      </c>
      <c r="E164" t="s">
        <v>20</v>
      </c>
      <c r="F164" t="s">
        <v>738</v>
      </c>
      <c r="G164" t="s">
        <v>739</v>
      </c>
      <c r="H164" t="s">
        <v>740</v>
      </c>
      <c r="I164">
        <v>12</v>
      </c>
    </row>
    <row r="165" spans="1:9" x14ac:dyDescent="0.45">
      <c r="A165" t="s">
        <v>345</v>
      </c>
      <c r="B165" t="s">
        <v>28</v>
      </c>
      <c r="C165">
        <v>63</v>
      </c>
      <c r="D165" t="s">
        <v>24</v>
      </c>
      <c r="E165" t="s">
        <v>25</v>
      </c>
      <c r="F165" t="s">
        <v>741</v>
      </c>
      <c r="G165" t="s">
        <v>742</v>
      </c>
      <c r="H165" t="s">
        <v>740</v>
      </c>
      <c r="I165">
        <v>12</v>
      </c>
    </row>
    <row r="166" spans="1:9" x14ac:dyDescent="0.45">
      <c r="A166" t="s">
        <v>345</v>
      </c>
      <c r="B166" t="s">
        <v>32</v>
      </c>
      <c r="C166">
        <v>44</v>
      </c>
      <c r="D166" t="s">
        <v>57</v>
      </c>
      <c r="E166" t="s">
        <v>49</v>
      </c>
      <c r="F166" t="s">
        <v>743</v>
      </c>
      <c r="G166" t="s">
        <v>744</v>
      </c>
      <c r="H166" t="s">
        <v>745</v>
      </c>
      <c r="I166">
        <v>15</v>
      </c>
    </row>
    <row r="167" spans="1:9" x14ac:dyDescent="0.45">
      <c r="A167" t="s">
        <v>345</v>
      </c>
      <c r="B167" t="s">
        <v>37</v>
      </c>
      <c r="C167">
        <v>12</v>
      </c>
      <c r="D167" t="s">
        <v>29</v>
      </c>
      <c r="E167" t="s">
        <v>25</v>
      </c>
      <c r="F167" t="s">
        <v>746</v>
      </c>
      <c r="G167" t="s">
        <v>747</v>
      </c>
      <c r="H167" t="s">
        <v>748</v>
      </c>
      <c r="I167">
        <v>18</v>
      </c>
    </row>
    <row r="168" spans="1:9" x14ac:dyDescent="0.45">
      <c r="A168" t="s">
        <v>345</v>
      </c>
      <c r="B168" t="s">
        <v>42</v>
      </c>
      <c r="C168">
        <v>16</v>
      </c>
      <c r="D168" t="s">
        <v>48</v>
      </c>
      <c r="E168" t="s">
        <v>49</v>
      </c>
      <c r="F168" t="s">
        <v>749</v>
      </c>
      <c r="G168" t="s">
        <v>750</v>
      </c>
      <c r="H168" t="s">
        <v>751</v>
      </c>
      <c r="I168">
        <v>12</v>
      </c>
    </row>
    <row r="169" spans="1:9" x14ac:dyDescent="0.45">
      <c r="A169" t="s">
        <v>345</v>
      </c>
      <c r="B169" t="s">
        <v>47</v>
      </c>
      <c r="C169">
        <v>10</v>
      </c>
      <c r="D169" t="s">
        <v>61</v>
      </c>
      <c r="E169" t="s">
        <v>62</v>
      </c>
      <c r="F169" t="s">
        <v>752</v>
      </c>
      <c r="G169" t="s">
        <v>753</v>
      </c>
      <c r="H169" t="s">
        <v>754</v>
      </c>
      <c r="I169">
        <v>18</v>
      </c>
    </row>
    <row r="170" spans="1:9" x14ac:dyDescent="0.45">
      <c r="A170" t="s">
        <v>345</v>
      </c>
      <c r="B170" t="s">
        <v>52</v>
      </c>
      <c r="C170">
        <v>6</v>
      </c>
      <c r="D170" t="s">
        <v>90</v>
      </c>
      <c r="E170" t="s">
        <v>67</v>
      </c>
      <c r="F170" t="s">
        <v>755</v>
      </c>
      <c r="G170" t="s">
        <v>756</v>
      </c>
      <c r="H170" t="s">
        <v>757</v>
      </c>
      <c r="I170">
        <v>15</v>
      </c>
    </row>
    <row r="171" spans="1:9" x14ac:dyDescent="0.45">
      <c r="A171" t="s">
        <v>345</v>
      </c>
      <c r="B171" t="s">
        <v>56</v>
      </c>
      <c r="C171">
        <v>14</v>
      </c>
      <c r="D171" t="s">
        <v>85</v>
      </c>
      <c r="E171" t="s">
        <v>39</v>
      </c>
      <c r="F171" t="s">
        <v>758</v>
      </c>
      <c r="G171" t="s">
        <v>759</v>
      </c>
      <c r="H171" t="s">
        <v>760</v>
      </c>
      <c r="I171">
        <v>14</v>
      </c>
    </row>
    <row r="172" spans="1:9" x14ac:dyDescent="0.45">
      <c r="A172" t="s">
        <v>345</v>
      </c>
      <c r="B172" t="s">
        <v>60</v>
      </c>
      <c r="C172">
        <v>23</v>
      </c>
      <c r="D172" t="s">
        <v>33</v>
      </c>
      <c r="E172" t="s">
        <v>34</v>
      </c>
      <c r="F172" t="s">
        <v>761</v>
      </c>
      <c r="G172" t="s">
        <v>762</v>
      </c>
      <c r="H172" t="s">
        <v>88</v>
      </c>
      <c r="I172">
        <v>14</v>
      </c>
    </row>
    <row r="173" spans="1:9" x14ac:dyDescent="0.45">
      <c r="A173" t="s">
        <v>345</v>
      </c>
      <c r="B173" t="s">
        <v>65</v>
      </c>
      <c r="C173">
        <v>5</v>
      </c>
      <c r="D173" t="s">
        <v>83</v>
      </c>
      <c r="E173" t="s">
        <v>44</v>
      </c>
      <c r="F173" t="s">
        <v>763</v>
      </c>
      <c r="G173" t="s">
        <v>764</v>
      </c>
      <c r="H173" t="s">
        <v>88</v>
      </c>
      <c r="I173">
        <v>12</v>
      </c>
    </row>
    <row r="174" spans="1:9" x14ac:dyDescent="0.45">
      <c r="A174" t="s">
        <v>345</v>
      </c>
      <c r="B174" t="s">
        <v>70</v>
      </c>
      <c r="C174">
        <v>30</v>
      </c>
      <c r="D174" t="s">
        <v>80</v>
      </c>
      <c r="E174" t="s">
        <v>67</v>
      </c>
      <c r="F174" t="s">
        <v>765</v>
      </c>
      <c r="G174" t="s">
        <v>766</v>
      </c>
      <c r="H174" t="s">
        <v>88</v>
      </c>
      <c r="I174">
        <v>12</v>
      </c>
    </row>
    <row r="175" spans="1:9" x14ac:dyDescent="0.45">
      <c r="A175" t="s">
        <v>345</v>
      </c>
      <c r="B175" t="s">
        <v>75</v>
      </c>
      <c r="C175">
        <v>18</v>
      </c>
      <c r="D175" t="s">
        <v>38</v>
      </c>
      <c r="E175" t="s">
        <v>39</v>
      </c>
      <c r="F175" t="s">
        <v>767</v>
      </c>
      <c r="G175" t="s">
        <v>743</v>
      </c>
      <c r="H175" t="s">
        <v>88</v>
      </c>
      <c r="I175">
        <v>15</v>
      </c>
    </row>
    <row r="176" spans="1:9" x14ac:dyDescent="0.45">
      <c r="A176" t="s">
        <v>345</v>
      </c>
      <c r="B176" t="s">
        <v>120</v>
      </c>
      <c r="C176">
        <v>87</v>
      </c>
      <c r="D176" t="s">
        <v>76</v>
      </c>
      <c r="E176" t="s">
        <v>72</v>
      </c>
      <c r="F176" t="s">
        <v>768</v>
      </c>
      <c r="G176" t="s">
        <v>769</v>
      </c>
      <c r="H176" t="s">
        <v>88</v>
      </c>
      <c r="I176">
        <v>15</v>
      </c>
    </row>
    <row r="177" spans="1:9" x14ac:dyDescent="0.45">
      <c r="A177" t="s">
        <v>345</v>
      </c>
      <c r="B177" t="s">
        <v>122</v>
      </c>
      <c r="C177">
        <v>27</v>
      </c>
      <c r="D177" t="s">
        <v>43</v>
      </c>
      <c r="E177" t="s">
        <v>44</v>
      </c>
      <c r="F177" t="s">
        <v>770</v>
      </c>
      <c r="G177" t="s">
        <v>88</v>
      </c>
      <c r="H177" t="s">
        <v>88</v>
      </c>
      <c r="I177">
        <v>6</v>
      </c>
    </row>
    <row r="178" spans="1:9" x14ac:dyDescent="0.45">
      <c r="A178" t="s">
        <v>345</v>
      </c>
      <c r="B178" t="s">
        <v>163</v>
      </c>
      <c r="C178">
        <v>31</v>
      </c>
      <c r="D178" t="s">
        <v>71</v>
      </c>
      <c r="E178" t="s">
        <v>72</v>
      </c>
      <c r="F178" t="s">
        <v>771</v>
      </c>
      <c r="G178" t="s">
        <v>88</v>
      </c>
      <c r="H178" t="s">
        <v>88</v>
      </c>
      <c r="I178">
        <v>9</v>
      </c>
    </row>
    <row r="179" spans="1:9" x14ac:dyDescent="0.45">
      <c r="A179" t="s">
        <v>345</v>
      </c>
      <c r="B179" t="s">
        <v>166</v>
      </c>
      <c r="C179">
        <v>55</v>
      </c>
      <c r="D179" t="s">
        <v>87</v>
      </c>
      <c r="E179" t="s">
        <v>34</v>
      </c>
      <c r="F179" t="s">
        <v>772</v>
      </c>
      <c r="G179" t="s">
        <v>88</v>
      </c>
      <c r="H179" t="s">
        <v>88</v>
      </c>
      <c r="I179">
        <v>6</v>
      </c>
    </row>
    <row r="180" spans="1:9" x14ac:dyDescent="0.45">
      <c r="A180" t="s">
        <v>345</v>
      </c>
      <c r="B180" t="s">
        <v>169</v>
      </c>
      <c r="C180">
        <v>43</v>
      </c>
      <c r="D180" t="s">
        <v>773</v>
      </c>
      <c r="E180" t="s">
        <v>62</v>
      </c>
      <c r="F180" t="s">
        <v>774</v>
      </c>
      <c r="G180" t="s">
        <v>88</v>
      </c>
      <c r="H180" t="s">
        <v>88</v>
      </c>
      <c r="I180">
        <v>7</v>
      </c>
    </row>
    <row r="181" spans="1:9" x14ac:dyDescent="0.45">
      <c r="A181" t="s">
        <v>345</v>
      </c>
      <c r="B181" t="s">
        <v>172</v>
      </c>
      <c r="C181">
        <v>22</v>
      </c>
      <c r="D181" t="s">
        <v>66</v>
      </c>
      <c r="E181" t="s">
        <v>20</v>
      </c>
      <c r="F181" t="s">
        <v>775</v>
      </c>
      <c r="G181" t="s">
        <v>88</v>
      </c>
      <c r="H181" t="s">
        <v>88</v>
      </c>
      <c r="I181">
        <v>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987C-8925-4D58-8222-4D0841CFD29F}">
  <dimension ref="A1:O22"/>
  <sheetViews>
    <sheetView topLeftCell="E1" workbookViewId="0">
      <pane ySplit="1" topLeftCell="A2" activePane="bottomLeft" state="frozen"/>
      <selection activeCell="E1" sqref="E1"/>
      <selection pane="bottomLeft" activeCell="B1" sqref="B1:O1"/>
    </sheetView>
  </sheetViews>
  <sheetFormatPr defaultRowHeight="14.25" x14ac:dyDescent="0.45"/>
  <cols>
    <col min="1" max="1" width="14.3984375" bestFit="1" customWidth="1"/>
    <col min="2" max="2" width="13.53125" bestFit="1" customWidth="1"/>
    <col min="3" max="3" width="13.86328125" bestFit="1" customWidth="1"/>
    <col min="4" max="4" width="12.9296875" bestFit="1" customWidth="1"/>
    <col min="5" max="5" width="13.53125" bestFit="1" customWidth="1"/>
    <col min="6" max="6" width="18.265625" bestFit="1" customWidth="1"/>
    <col min="7" max="7" width="13.73046875" bestFit="1" customWidth="1"/>
    <col min="8" max="8" width="18.59765625" bestFit="1" customWidth="1"/>
    <col min="9" max="9" width="10" bestFit="1" customWidth="1"/>
    <col min="10" max="10" width="20.1328125" bestFit="1" customWidth="1"/>
    <col min="11" max="11" width="14.33203125" bestFit="1" customWidth="1"/>
    <col min="12" max="12" width="21" bestFit="1" customWidth="1"/>
    <col min="13" max="13" width="7.06640625" bestFit="1" customWidth="1"/>
    <col min="14" max="14" width="13.265625" bestFit="1" customWidth="1"/>
    <col min="15" max="15" width="24.73046875" bestFit="1" customWidth="1"/>
  </cols>
  <sheetData>
    <row r="1" spans="1:15" x14ac:dyDescent="0.45">
      <c r="A1" t="s">
        <v>3</v>
      </c>
      <c r="B1" t="s">
        <v>776</v>
      </c>
      <c r="C1" t="s">
        <v>777</v>
      </c>
      <c r="D1" t="s">
        <v>4</v>
      </c>
      <c r="E1" t="s">
        <v>778</v>
      </c>
      <c r="F1" t="s">
        <v>779</v>
      </c>
      <c r="G1" t="s">
        <v>780</v>
      </c>
      <c r="H1" t="s">
        <v>781</v>
      </c>
      <c r="I1" t="s">
        <v>782</v>
      </c>
      <c r="J1" t="s">
        <v>783</v>
      </c>
      <c r="K1" t="s">
        <v>784</v>
      </c>
      <c r="L1" t="s">
        <v>785</v>
      </c>
      <c r="M1" t="s">
        <v>786</v>
      </c>
      <c r="N1" t="s">
        <v>787</v>
      </c>
      <c r="O1" t="s">
        <v>788</v>
      </c>
    </row>
    <row r="2" spans="1:15" x14ac:dyDescent="0.45">
      <c r="A2" t="s">
        <v>13</v>
      </c>
      <c r="B2" t="s">
        <v>789</v>
      </c>
      <c r="C2">
        <v>4</v>
      </c>
      <c r="D2" t="s">
        <v>790</v>
      </c>
      <c r="E2" t="s">
        <v>791</v>
      </c>
      <c r="F2">
        <v>152</v>
      </c>
      <c r="G2">
        <v>1430</v>
      </c>
      <c r="H2" t="s">
        <v>792</v>
      </c>
      <c r="I2">
        <v>44</v>
      </c>
      <c r="J2" t="s">
        <v>793</v>
      </c>
      <c r="K2">
        <v>16</v>
      </c>
      <c r="L2">
        <v>1</v>
      </c>
      <c r="M2">
        <v>13</v>
      </c>
      <c r="N2" s="1">
        <v>36477</v>
      </c>
      <c r="O2" t="s">
        <v>794</v>
      </c>
    </row>
    <row r="3" spans="1:15" x14ac:dyDescent="0.45">
      <c r="A3" t="s">
        <v>53</v>
      </c>
      <c r="B3" t="s">
        <v>795</v>
      </c>
      <c r="C3">
        <v>81</v>
      </c>
      <c r="D3" t="s">
        <v>790</v>
      </c>
      <c r="E3" t="s">
        <v>11</v>
      </c>
      <c r="F3">
        <v>70</v>
      </c>
      <c r="G3">
        <v>799</v>
      </c>
      <c r="H3" t="s">
        <v>796</v>
      </c>
      <c r="I3">
        <v>26</v>
      </c>
      <c r="J3" t="s">
        <v>797</v>
      </c>
      <c r="K3">
        <v>6</v>
      </c>
      <c r="L3">
        <v>0</v>
      </c>
      <c r="M3">
        <v>4</v>
      </c>
      <c r="N3" s="1">
        <v>36987</v>
      </c>
      <c r="O3" t="s">
        <v>798</v>
      </c>
    </row>
    <row r="4" spans="1:15" x14ac:dyDescent="0.45">
      <c r="A4" t="s">
        <v>24</v>
      </c>
      <c r="B4" t="s">
        <v>799</v>
      </c>
      <c r="C4">
        <v>63</v>
      </c>
      <c r="D4" t="s">
        <v>25</v>
      </c>
      <c r="E4" t="s">
        <v>791</v>
      </c>
      <c r="F4">
        <v>152</v>
      </c>
      <c r="G4">
        <v>1033</v>
      </c>
      <c r="H4" t="s">
        <v>800</v>
      </c>
      <c r="I4">
        <v>24</v>
      </c>
      <c r="J4" t="s">
        <v>801</v>
      </c>
      <c r="K4">
        <v>7</v>
      </c>
      <c r="L4">
        <v>0</v>
      </c>
      <c r="M4">
        <v>19</v>
      </c>
      <c r="N4" s="1">
        <v>35841</v>
      </c>
      <c r="O4" t="s">
        <v>802</v>
      </c>
    </row>
    <row r="5" spans="1:15" x14ac:dyDescent="0.45">
      <c r="A5" t="s">
        <v>29</v>
      </c>
      <c r="B5" t="s">
        <v>803</v>
      </c>
      <c r="C5">
        <v>12</v>
      </c>
      <c r="D5" t="s">
        <v>25</v>
      </c>
      <c r="E5" t="s">
        <v>804</v>
      </c>
      <c r="F5">
        <v>24</v>
      </c>
      <c r="G5">
        <v>150</v>
      </c>
      <c r="H5" t="s">
        <v>805</v>
      </c>
      <c r="I5">
        <v>3</v>
      </c>
      <c r="J5" t="s">
        <v>805</v>
      </c>
      <c r="K5">
        <v>0</v>
      </c>
      <c r="L5">
        <v>0</v>
      </c>
      <c r="M5">
        <v>4</v>
      </c>
      <c r="N5" s="1">
        <v>38954</v>
      </c>
      <c r="O5" t="s">
        <v>806</v>
      </c>
    </row>
    <row r="6" spans="1:15" x14ac:dyDescent="0.45">
      <c r="A6" t="s">
        <v>19</v>
      </c>
      <c r="B6" t="s">
        <v>807</v>
      </c>
      <c r="C6">
        <v>1</v>
      </c>
      <c r="D6" t="s">
        <v>808</v>
      </c>
      <c r="E6" t="s">
        <v>809</v>
      </c>
      <c r="F6">
        <v>233</v>
      </c>
      <c r="G6">
        <v>3444.5</v>
      </c>
      <c r="H6" t="s">
        <v>810</v>
      </c>
      <c r="I6">
        <v>127</v>
      </c>
      <c r="J6" t="s">
        <v>811</v>
      </c>
      <c r="K6">
        <v>48</v>
      </c>
      <c r="L6">
        <v>4</v>
      </c>
      <c r="M6">
        <v>33</v>
      </c>
      <c r="N6" s="1">
        <v>35703</v>
      </c>
      <c r="O6" t="s">
        <v>812</v>
      </c>
    </row>
    <row r="7" spans="1:15" x14ac:dyDescent="0.45">
      <c r="A7" t="s">
        <v>66</v>
      </c>
      <c r="B7" t="s">
        <v>813</v>
      </c>
      <c r="C7">
        <v>22</v>
      </c>
      <c r="D7" t="s">
        <v>808</v>
      </c>
      <c r="E7" t="s">
        <v>130</v>
      </c>
      <c r="F7">
        <v>111</v>
      </c>
      <c r="G7">
        <v>124</v>
      </c>
      <c r="H7" t="s">
        <v>814</v>
      </c>
      <c r="I7">
        <v>0</v>
      </c>
      <c r="J7" t="s">
        <v>815</v>
      </c>
      <c r="K7">
        <v>0</v>
      </c>
      <c r="L7">
        <v>0</v>
      </c>
      <c r="M7">
        <v>15</v>
      </c>
      <c r="N7" s="1">
        <v>36657</v>
      </c>
      <c r="O7" t="s">
        <v>816</v>
      </c>
    </row>
    <row r="8" spans="1:15" x14ac:dyDescent="0.45">
      <c r="A8" t="s">
        <v>48</v>
      </c>
      <c r="B8" t="s">
        <v>817</v>
      </c>
      <c r="C8">
        <v>16</v>
      </c>
      <c r="D8" t="s">
        <v>49</v>
      </c>
      <c r="E8" t="s">
        <v>317</v>
      </c>
      <c r="F8">
        <v>171</v>
      </c>
      <c r="G8">
        <v>1672</v>
      </c>
      <c r="H8" t="s">
        <v>801</v>
      </c>
      <c r="I8">
        <v>50</v>
      </c>
      <c r="J8" t="s">
        <v>818</v>
      </c>
      <c r="K8">
        <v>27</v>
      </c>
      <c r="L8">
        <v>0</v>
      </c>
      <c r="M8">
        <v>23</v>
      </c>
      <c r="N8" s="1">
        <v>35719</v>
      </c>
      <c r="O8" t="s">
        <v>819</v>
      </c>
    </row>
    <row r="9" spans="1:15" x14ac:dyDescent="0.45">
      <c r="A9" t="s">
        <v>57</v>
      </c>
      <c r="B9" t="s">
        <v>820</v>
      </c>
      <c r="C9">
        <v>44</v>
      </c>
      <c r="D9" t="s">
        <v>49</v>
      </c>
      <c r="E9" t="s">
        <v>791</v>
      </c>
      <c r="F9">
        <v>380</v>
      </c>
      <c r="G9">
        <v>5018.5</v>
      </c>
      <c r="H9" t="s">
        <v>821</v>
      </c>
      <c r="I9">
        <v>202</v>
      </c>
      <c r="J9" t="s">
        <v>822</v>
      </c>
      <c r="K9">
        <v>104</v>
      </c>
      <c r="L9">
        <v>7</v>
      </c>
      <c r="M9">
        <v>34</v>
      </c>
      <c r="N9" s="1">
        <v>31054</v>
      </c>
      <c r="O9" t="s">
        <v>823</v>
      </c>
    </row>
    <row r="10" spans="1:15" x14ac:dyDescent="0.45">
      <c r="A10" t="s">
        <v>33</v>
      </c>
      <c r="B10" t="s">
        <v>824</v>
      </c>
      <c r="C10">
        <v>23</v>
      </c>
      <c r="D10" t="s">
        <v>825</v>
      </c>
      <c r="E10" t="s">
        <v>826</v>
      </c>
      <c r="F10">
        <v>128</v>
      </c>
      <c r="G10">
        <v>313</v>
      </c>
      <c r="H10" t="s">
        <v>827</v>
      </c>
      <c r="I10">
        <v>2</v>
      </c>
      <c r="J10" t="s">
        <v>828</v>
      </c>
      <c r="K10">
        <v>0</v>
      </c>
      <c r="L10">
        <v>0</v>
      </c>
      <c r="M10">
        <v>22</v>
      </c>
      <c r="N10" s="1">
        <v>35147</v>
      </c>
      <c r="O10" t="s">
        <v>829</v>
      </c>
    </row>
    <row r="11" spans="1:15" x14ac:dyDescent="0.45">
      <c r="A11" t="s">
        <v>87</v>
      </c>
      <c r="B11" t="s">
        <v>830</v>
      </c>
      <c r="C11">
        <v>55</v>
      </c>
      <c r="D11" t="s">
        <v>825</v>
      </c>
      <c r="E11" t="s">
        <v>345</v>
      </c>
      <c r="F11">
        <v>230</v>
      </c>
      <c r="G11">
        <v>1336.5</v>
      </c>
      <c r="H11" t="s">
        <v>831</v>
      </c>
      <c r="I11">
        <v>29</v>
      </c>
      <c r="J11" t="s">
        <v>797</v>
      </c>
      <c r="K11">
        <v>6</v>
      </c>
      <c r="L11">
        <v>0</v>
      </c>
      <c r="M11">
        <v>42</v>
      </c>
      <c r="N11" s="1">
        <v>34578</v>
      </c>
      <c r="O11" t="s">
        <v>832</v>
      </c>
    </row>
    <row r="12" spans="1:15" x14ac:dyDescent="0.45">
      <c r="A12" t="s">
        <v>80</v>
      </c>
      <c r="B12" t="s">
        <v>833</v>
      </c>
      <c r="C12">
        <v>30</v>
      </c>
      <c r="D12" t="s">
        <v>834</v>
      </c>
      <c r="E12" t="s">
        <v>835</v>
      </c>
      <c r="F12">
        <v>35</v>
      </c>
      <c r="G12">
        <v>44</v>
      </c>
      <c r="H12" t="s">
        <v>836</v>
      </c>
      <c r="I12">
        <v>0</v>
      </c>
      <c r="J12" t="s">
        <v>815</v>
      </c>
      <c r="K12">
        <v>0</v>
      </c>
      <c r="L12">
        <v>0</v>
      </c>
      <c r="M12">
        <v>6</v>
      </c>
      <c r="N12" s="1">
        <v>37298</v>
      </c>
      <c r="O12" t="s">
        <v>837</v>
      </c>
    </row>
    <row r="13" spans="1:15" x14ac:dyDescent="0.45">
      <c r="A13" t="s">
        <v>838</v>
      </c>
      <c r="B13" t="s">
        <v>839</v>
      </c>
      <c r="C13">
        <v>6</v>
      </c>
      <c r="D13" t="s">
        <v>834</v>
      </c>
      <c r="E13" t="s">
        <v>840</v>
      </c>
      <c r="F13">
        <v>23</v>
      </c>
      <c r="G13">
        <v>51</v>
      </c>
      <c r="H13" t="s">
        <v>815</v>
      </c>
      <c r="I13">
        <v>1</v>
      </c>
      <c r="J13" t="s">
        <v>814</v>
      </c>
      <c r="K13">
        <v>0</v>
      </c>
      <c r="L13">
        <v>0</v>
      </c>
      <c r="M13">
        <v>2</v>
      </c>
      <c r="N13" s="1">
        <v>38258</v>
      </c>
      <c r="O13" t="s">
        <v>841</v>
      </c>
    </row>
    <row r="14" spans="1:15" x14ac:dyDescent="0.45">
      <c r="A14" t="s">
        <v>38</v>
      </c>
      <c r="B14" t="s">
        <v>842</v>
      </c>
      <c r="C14">
        <v>18</v>
      </c>
      <c r="D14" t="s">
        <v>843</v>
      </c>
      <c r="E14" t="s">
        <v>844</v>
      </c>
      <c r="F14">
        <v>190</v>
      </c>
      <c r="G14">
        <v>325</v>
      </c>
      <c r="H14" t="s">
        <v>845</v>
      </c>
      <c r="I14">
        <v>3</v>
      </c>
      <c r="J14" t="s">
        <v>846</v>
      </c>
      <c r="K14">
        <v>1</v>
      </c>
      <c r="L14">
        <v>0</v>
      </c>
      <c r="M14">
        <v>31</v>
      </c>
      <c r="N14" s="1">
        <v>36097</v>
      </c>
      <c r="O14" t="s">
        <v>847</v>
      </c>
    </row>
    <row r="15" spans="1:15" x14ac:dyDescent="0.45">
      <c r="A15" t="s">
        <v>85</v>
      </c>
      <c r="B15" t="s">
        <v>848</v>
      </c>
      <c r="C15">
        <v>14</v>
      </c>
      <c r="D15" t="s">
        <v>843</v>
      </c>
      <c r="E15" t="s">
        <v>345</v>
      </c>
      <c r="F15">
        <v>427</v>
      </c>
      <c r="G15">
        <v>2393</v>
      </c>
      <c r="H15" t="s">
        <v>849</v>
      </c>
      <c r="I15">
        <v>106</v>
      </c>
      <c r="J15" t="s">
        <v>850</v>
      </c>
      <c r="K15">
        <v>22</v>
      </c>
      <c r="L15">
        <v>2</v>
      </c>
      <c r="M15">
        <v>83</v>
      </c>
      <c r="N15" s="1">
        <v>29796</v>
      </c>
      <c r="O15" t="s">
        <v>851</v>
      </c>
    </row>
    <row r="16" spans="1:15" x14ac:dyDescent="0.45">
      <c r="A16" t="s">
        <v>71</v>
      </c>
      <c r="B16" t="s">
        <v>852</v>
      </c>
      <c r="C16">
        <v>31</v>
      </c>
      <c r="D16" t="s">
        <v>853</v>
      </c>
      <c r="E16" t="s">
        <v>840</v>
      </c>
      <c r="F16">
        <v>180</v>
      </c>
      <c r="G16">
        <v>483</v>
      </c>
      <c r="H16" t="s">
        <v>846</v>
      </c>
      <c r="I16">
        <v>4</v>
      </c>
      <c r="J16" t="s">
        <v>845</v>
      </c>
      <c r="K16">
        <v>0</v>
      </c>
      <c r="L16">
        <v>0</v>
      </c>
      <c r="M16">
        <v>25</v>
      </c>
      <c r="N16" s="1">
        <v>35325</v>
      </c>
      <c r="O16" t="s">
        <v>854</v>
      </c>
    </row>
    <row r="17" spans="1:15" x14ac:dyDescent="0.45">
      <c r="A17" t="s">
        <v>76</v>
      </c>
      <c r="B17" t="s">
        <v>855</v>
      </c>
      <c r="C17">
        <v>87</v>
      </c>
      <c r="D17" t="s">
        <v>853</v>
      </c>
      <c r="E17" t="s">
        <v>791</v>
      </c>
      <c r="F17">
        <v>27</v>
      </c>
      <c r="G17">
        <v>48</v>
      </c>
      <c r="H17" t="s">
        <v>814</v>
      </c>
      <c r="I17">
        <v>0</v>
      </c>
      <c r="J17" t="s">
        <v>856</v>
      </c>
      <c r="K17">
        <v>0</v>
      </c>
      <c r="L17">
        <v>0</v>
      </c>
      <c r="M17">
        <v>3</v>
      </c>
      <c r="N17" s="1">
        <v>38480</v>
      </c>
      <c r="O17" t="s">
        <v>857</v>
      </c>
    </row>
    <row r="18" spans="1:15" x14ac:dyDescent="0.45">
      <c r="A18" t="s">
        <v>43</v>
      </c>
      <c r="B18" t="s">
        <v>858</v>
      </c>
      <c r="C18">
        <v>27</v>
      </c>
      <c r="D18" t="s">
        <v>859</v>
      </c>
      <c r="E18" t="s">
        <v>860</v>
      </c>
      <c r="F18">
        <v>251</v>
      </c>
      <c r="G18">
        <v>622</v>
      </c>
      <c r="H18" t="s">
        <v>815</v>
      </c>
      <c r="I18">
        <v>1</v>
      </c>
      <c r="J18" t="s">
        <v>846</v>
      </c>
      <c r="K18">
        <v>1</v>
      </c>
      <c r="L18">
        <v>0</v>
      </c>
      <c r="M18">
        <v>44</v>
      </c>
      <c r="N18" s="1">
        <v>32008</v>
      </c>
      <c r="O18" t="s">
        <v>861</v>
      </c>
    </row>
    <row r="19" spans="1:15" x14ac:dyDescent="0.45">
      <c r="A19" t="s">
        <v>83</v>
      </c>
      <c r="B19" t="s">
        <v>862</v>
      </c>
      <c r="C19">
        <v>5</v>
      </c>
      <c r="D19" t="s">
        <v>859</v>
      </c>
      <c r="E19" t="s">
        <v>863</v>
      </c>
      <c r="F19">
        <v>24</v>
      </c>
      <c r="G19">
        <v>19</v>
      </c>
      <c r="H19" t="s">
        <v>864</v>
      </c>
      <c r="I19">
        <v>0</v>
      </c>
      <c r="J19" t="s">
        <v>865</v>
      </c>
      <c r="K19">
        <v>0</v>
      </c>
      <c r="L19">
        <v>0</v>
      </c>
      <c r="M19">
        <v>5</v>
      </c>
      <c r="N19" s="1">
        <v>38274</v>
      </c>
      <c r="O19" t="s">
        <v>866</v>
      </c>
    </row>
    <row r="20" spans="1:15" x14ac:dyDescent="0.45">
      <c r="A20" t="s">
        <v>61</v>
      </c>
      <c r="B20" t="s">
        <v>867</v>
      </c>
      <c r="C20">
        <v>10</v>
      </c>
      <c r="D20" t="s">
        <v>868</v>
      </c>
      <c r="E20" t="s">
        <v>840</v>
      </c>
      <c r="F20">
        <v>177</v>
      </c>
      <c r="G20">
        <v>458</v>
      </c>
      <c r="H20" t="s">
        <v>846</v>
      </c>
      <c r="I20">
        <v>5</v>
      </c>
      <c r="J20" t="s">
        <v>805</v>
      </c>
      <c r="K20">
        <v>0</v>
      </c>
      <c r="L20">
        <v>0</v>
      </c>
      <c r="M20">
        <v>26</v>
      </c>
      <c r="N20" s="1">
        <v>35102</v>
      </c>
      <c r="O20" t="s">
        <v>869</v>
      </c>
    </row>
    <row r="21" spans="1:15" x14ac:dyDescent="0.45">
      <c r="A21" t="s">
        <v>308</v>
      </c>
      <c r="B21" t="s">
        <v>870</v>
      </c>
      <c r="C21">
        <v>43</v>
      </c>
      <c r="D21" t="s">
        <v>868</v>
      </c>
      <c r="E21" t="s">
        <v>871</v>
      </c>
      <c r="F21">
        <v>27</v>
      </c>
      <c r="G21">
        <v>5</v>
      </c>
      <c r="H21" t="s">
        <v>872</v>
      </c>
      <c r="I21">
        <v>0</v>
      </c>
      <c r="J21" t="s">
        <v>872</v>
      </c>
      <c r="K21">
        <v>0</v>
      </c>
      <c r="L21">
        <v>0</v>
      </c>
      <c r="M21">
        <v>3</v>
      </c>
      <c r="N21" s="1">
        <v>37768</v>
      </c>
      <c r="O21" t="s">
        <v>873</v>
      </c>
    </row>
    <row r="22" spans="1:15" x14ac:dyDescent="0.45">
      <c r="A22" t="s">
        <v>89</v>
      </c>
      <c r="B22" t="s">
        <v>874</v>
      </c>
      <c r="C22">
        <v>7</v>
      </c>
      <c r="D22" t="s">
        <v>868</v>
      </c>
      <c r="E22" t="s">
        <v>11</v>
      </c>
      <c r="F22">
        <v>7</v>
      </c>
      <c r="G22">
        <v>0</v>
      </c>
      <c r="H22" t="s">
        <v>875</v>
      </c>
      <c r="I22">
        <v>0</v>
      </c>
      <c r="J22" t="s">
        <v>876</v>
      </c>
      <c r="K22">
        <v>0</v>
      </c>
      <c r="L22">
        <v>0</v>
      </c>
      <c r="M22">
        <v>2</v>
      </c>
      <c r="N22" s="1">
        <v>37641</v>
      </c>
      <c r="O22" t="s">
        <v>877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6092-A081-4F61-95AC-5531D326039C}">
  <dimension ref="A1:O11"/>
  <sheetViews>
    <sheetView topLeftCell="F1" workbookViewId="0">
      <pane ySplit="1" topLeftCell="A2" activePane="bottomLeft" state="frozen"/>
      <selection activeCell="F1" sqref="F1"/>
      <selection pane="bottomLeft" sqref="A1:O1"/>
    </sheetView>
  </sheetViews>
  <sheetFormatPr defaultRowHeight="14.25" x14ac:dyDescent="0.45"/>
  <cols>
    <col min="1" max="1" width="12.9296875" bestFit="1" customWidth="1"/>
    <col min="2" max="2" width="37.3984375" bestFit="1" customWidth="1"/>
    <col min="3" max="3" width="25.86328125" bestFit="1" customWidth="1"/>
    <col min="4" max="4" width="15.9296875" bestFit="1" customWidth="1"/>
    <col min="5" max="5" width="26.265625" bestFit="1" customWidth="1"/>
    <col min="6" max="6" width="8.796875" bestFit="1" customWidth="1"/>
    <col min="7" max="7" width="12.06640625" bestFit="1" customWidth="1"/>
    <col min="8" max="8" width="16.1328125" bestFit="1" customWidth="1"/>
    <col min="9" max="9" width="18.265625" bestFit="1" customWidth="1"/>
    <col min="10" max="10" width="12.9296875" bestFit="1" customWidth="1"/>
    <col min="11" max="11" width="18.59765625" bestFit="1" customWidth="1"/>
    <col min="12" max="12" width="10" bestFit="1" customWidth="1"/>
    <col min="13" max="13" width="20.1328125" bestFit="1" customWidth="1"/>
    <col min="14" max="14" width="14.33203125" bestFit="1" customWidth="1"/>
    <col min="15" max="15" width="21" bestFit="1" customWidth="1"/>
  </cols>
  <sheetData>
    <row r="1" spans="1:15" x14ac:dyDescent="0.45">
      <c r="A1" t="s">
        <v>4</v>
      </c>
      <c r="B1" t="s">
        <v>878</v>
      </c>
      <c r="C1" t="s">
        <v>879</v>
      </c>
      <c r="D1" t="s">
        <v>880</v>
      </c>
      <c r="E1" t="s">
        <v>881</v>
      </c>
      <c r="F1" t="s">
        <v>882</v>
      </c>
      <c r="G1" t="s">
        <v>883</v>
      </c>
      <c r="H1" t="s">
        <v>884</v>
      </c>
      <c r="I1" t="s">
        <v>779</v>
      </c>
      <c r="J1" t="s">
        <v>885</v>
      </c>
      <c r="K1" t="s">
        <v>781</v>
      </c>
      <c r="L1" t="s">
        <v>782</v>
      </c>
      <c r="M1" t="s">
        <v>783</v>
      </c>
      <c r="N1" t="s">
        <v>784</v>
      </c>
      <c r="O1" t="s">
        <v>785</v>
      </c>
    </row>
    <row r="2" spans="1:15" x14ac:dyDescent="0.45">
      <c r="A2" t="s">
        <v>790</v>
      </c>
      <c r="B2" t="s">
        <v>886</v>
      </c>
      <c r="C2" t="s">
        <v>887</v>
      </c>
      <c r="D2" t="s">
        <v>888</v>
      </c>
      <c r="E2" t="s">
        <v>889</v>
      </c>
      <c r="F2" t="s">
        <v>890</v>
      </c>
      <c r="G2" t="s">
        <v>25</v>
      </c>
      <c r="H2">
        <v>1966</v>
      </c>
      <c r="I2">
        <v>995</v>
      </c>
      <c r="J2">
        <v>7783.5</v>
      </c>
      <c r="K2" t="s">
        <v>891</v>
      </c>
      <c r="L2">
        <v>445</v>
      </c>
      <c r="M2" t="s">
        <v>892</v>
      </c>
      <c r="N2">
        <v>177</v>
      </c>
      <c r="O2">
        <v>10</v>
      </c>
    </row>
    <row r="3" spans="1:15" x14ac:dyDescent="0.45">
      <c r="A3" t="s">
        <v>25</v>
      </c>
      <c r="B3" t="s">
        <v>893</v>
      </c>
      <c r="C3" t="s">
        <v>894</v>
      </c>
      <c r="D3" t="s">
        <v>895</v>
      </c>
      <c r="E3" t="s">
        <v>896</v>
      </c>
      <c r="F3" t="s">
        <v>897</v>
      </c>
      <c r="G3" t="s">
        <v>25</v>
      </c>
      <c r="H3">
        <v>1970</v>
      </c>
      <c r="I3">
        <v>329</v>
      </c>
      <c r="J3">
        <v>8159.5</v>
      </c>
      <c r="K3" t="s">
        <v>898</v>
      </c>
      <c r="L3">
        <v>201</v>
      </c>
      <c r="M3" t="s">
        <v>899</v>
      </c>
      <c r="N3">
        <v>135</v>
      </c>
      <c r="O3">
        <v>8</v>
      </c>
    </row>
    <row r="4" spans="1:15" x14ac:dyDescent="0.45">
      <c r="A4" t="s">
        <v>808</v>
      </c>
      <c r="B4" t="s">
        <v>900</v>
      </c>
      <c r="C4" t="s">
        <v>901</v>
      </c>
      <c r="D4" t="s">
        <v>902</v>
      </c>
      <c r="E4" t="s">
        <v>903</v>
      </c>
      <c r="F4" t="s">
        <v>904</v>
      </c>
      <c r="G4" t="s">
        <v>905</v>
      </c>
      <c r="H4">
        <v>1997</v>
      </c>
      <c r="I4">
        <v>418</v>
      </c>
      <c r="J4">
        <v>8288</v>
      </c>
      <c r="K4" t="s">
        <v>906</v>
      </c>
      <c r="L4">
        <v>233</v>
      </c>
      <c r="M4" t="s">
        <v>907</v>
      </c>
      <c r="N4">
        <v>111</v>
      </c>
      <c r="O4">
        <v>6</v>
      </c>
    </row>
    <row r="5" spans="1:15" x14ac:dyDescent="0.45">
      <c r="A5" t="s">
        <v>49</v>
      </c>
      <c r="B5" t="s">
        <v>908</v>
      </c>
      <c r="C5" t="s">
        <v>909</v>
      </c>
      <c r="D5" t="s">
        <v>910</v>
      </c>
      <c r="E5" t="s">
        <v>911</v>
      </c>
      <c r="F5" t="s">
        <v>912</v>
      </c>
      <c r="G5" t="s">
        <v>49</v>
      </c>
      <c r="H5">
        <v>1950</v>
      </c>
      <c r="I5">
        <v>1123</v>
      </c>
      <c r="J5">
        <v>10675</v>
      </c>
      <c r="K5" t="s">
        <v>913</v>
      </c>
      <c r="L5">
        <v>639</v>
      </c>
      <c r="M5" t="s">
        <v>914</v>
      </c>
      <c r="N5">
        <v>254</v>
      </c>
      <c r="O5">
        <v>16</v>
      </c>
    </row>
    <row r="6" spans="1:15" x14ac:dyDescent="0.45">
      <c r="A6" t="s">
        <v>825</v>
      </c>
      <c r="B6" t="s">
        <v>915</v>
      </c>
      <c r="C6" t="s">
        <v>916</v>
      </c>
      <c r="D6" t="s">
        <v>917</v>
      </c>
      <c r="E6" t="s">
        <v>918</v>
      </c>
      <c r="F6" t="s">
        <v>919</v>
      </c>
      <c r="G6" t="s">
        <v>25</v>
      </c>
      <c r="H6">
        <v>1978</v>
      </c>
      <c r="I6">
        <v>851</v>
      </c>
      <c r="J6">
        <v>3768</v>
      </c>
      <c r="K6" t="s">
        <v>920</v>
      </c>
      <c r="L6">
        <v>245</v>
      </c>
      <c r="M6" t="s">
        <v>921</v>
      </c>
      <c r="N6">
        <v>128</v>
      </c>
      <c r="O6">
        <v>9</v>
      </c>
    </row>
    <row r="7" spans="1:15" x14ac:dyDescent="0.45">
      <c r="A7" t="s">
        <v>834</v>
      </c>
      <c r="B7" t="s">
        <v>922</v>
      </c>
      <c r="C7" t="s">
        <v>923</v>
      </c>
      <c r="D7" t="s">
        <v>924</v>
      </c>
      <c r="E7" t="s">
        <v>925</v>
      </c>
      <c r="F7" t="s">
        <v>926</v>
      </c>
      <c r="G7" t="s">
        <v>905</v>
      </c>
      <c r="H7">
        <v>1985</v>
      </c>
      <c r="I7">
        <v>399</v>
      </c>
      <c r="J7">
        <v>947</v>
      </c>
      <c r="K7" t="s">
        <v>927</v>
      </c>
      <c r="L7">
        <v>6</v>
      </c>
      <c r="M7" t="s">
        <v>846</v>
      </c>
      <c r="N7">
        <v>1</v>
      </c>
      <c r="O7">
        <v>0</v>
      </c>
    </row>
    <row r="8" spans="1:15" x14ac:dyDescent="0.45">
      <c r="A8" t="s">
        <v>843</v>
      </c>
      <c r="B8" t="s">
        <v>928</v>
      </c>
      <c r="C8" t="s">
        <v>929</v>
      </c>
      <c r="D8" t="s">
        <v>930</v>
      </c>
      <c r="E8" t="s">
        <v>931</v>
      </c>
      <c r="F8" t="s">
        <v>932</v>
      </c>
      <c r="G8" t="s">
        <v>25</v>
      </c>
      <c r="H8">
        <v>2018</v>
      </c>
      <c r="I8">
        <v>152</v>
      </c>
      <c r="J8">
        <v>863</v>
      </c>
      <c r="K8" t="s">
        <v>846</v>
      </c>
      <c r="L8">
        <v>12</v>
      </c>
      <c r="M8" t="s">
        <v>846</v>
      </c>
      <c r="N8">
        <v>1</v>
      </c>
      <c r="O8">
        <v>0</v>
      </c>
    </row>
    <row r="9" spans="1:15" x14ac:dyDescent="0.45">
      <c r="A9" t="s">
        <v>933</v>
      </c>
      <c r="B9" t="s">
        <v>934</v>
      </c>
      <c r="C9" t="s">
        <v>935</v>
      </c>
      <c r="D9" t="s">
        <v>936</v>
      </c>
      <c r="E9" t="s">
        <v>937</v>
      </c>
      <c r="F9" t="s">
        <v>938</v>
      </c>
      <c r="G9" t="s">
        <v>49</v>
      </c>
      <c r="H9">
        <v>2016</v>
      </c>
      <c r="I9">
        <v>214</v>
      </c>
      <c r="J9">
        <v>386</v>
      </c>
      <c r="K9" t="s">
        <v>939</v>
      </c>
      <c r="L9">
        <v>0</v>
      </c>
      <c r="M9" t="s">
        <v>814</v>
      </c>
      <c r="N9">
        <v>1</v>
      </c>
      <c r="O9">
        <v>0</v>
      </c>
    </row>
    <row r="10" spans="1:15" x14ac:dyDescent="0.45">
      <c r="A10" t="s">
        <v>859</v>
      </c>
      <c r="B10" t="s">
        <v>940</v>
      </c>
      <c r="C10" t="s">
        <v>941</v>
      </c>
      <c r="D10" t="s">
        <v>942</v>
      </c>
      <c r="E10" t="s">
        <v>943</v>
      </c>
      <c r="F10" t="s">
        <v>944</v>
      </c>
      <c r="G10" t="s">
        <v>49</v>
      </c>
      <c r="H10">
        <v>1993</v>
      </c>
      <c r="I10">
        <v>615</v>
      </c>
      <c r="J10">
        <v>1088</v>
      </c>
      <c r="K10" t="s">
        <v>846</v>
      </c>
      <c r="L10">
        <v>27</v>
      </c>
      <c r="M10" t="s">
        <v>846</v>
      </c>
      <c r="N10">
        <v>1</v>
      </c>
      <c r="O10">
        <v>0</v>
      </c>
    </row>
    <row r="11" spans="1:15" x14ac:dyDescent="0.45">
      <c r="A11" t="s">
        <v>868</v>
      </c>
      <c r="B11" t="s">
        <v>945</v>
      </c>
      <c r="C11" t="s">
        <v>946</v>
      </c>
      <c r="D11" t="s">
        <v>947</v>
      </c>
      <c r="E11" t="s">
        <v>948</v>
      </c>
      <c r="F11" t="s">
        <v>949</v>
      </c>
      <c r="G11" t="s">
        <v>950</v>
      </c>
      <c r="H11">
        <v>1986</v>
      </c>
      <c r="I11">
        <v>392</v>
      </c>
      <c r="J11">
        <v>2000</v>
      </c>
      <c r="K11" t="s">
        <v>951</v>
      </c>
      <c r="L11">
        <v>60</v>
      </c>
      <c r="M11" t="s">
        <v>952</v>
      </c>
      <c r="N11">
        <v>20</v>
      </c>
      <c r="O1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37E3-C7AD-45FD-8D91-3B29435A6721}">
  <dimension ref="A1:M480"/>
  <sheetViews>
    <sheetView workbookViewId="0">
      <pane ySplit="1" topLeftCell="A199" activePane="bottomLeft" state="frozen"/>
      <selection pane="bottomLeft" activeCell="L2" sqref="L2:L400"/>
    </sheetView>
  </sheetViews>
  <sheetFormatPr defaultRowHeight="14.25" x14ac:dyDescent="0.45"/>
  <cols>
    <col min="1" max="1" width="13.46484375" bestFit="1" customWidth="1"/>
    <col min="2" max="2" width="9.53125" bestFit="1" customWidth="1"/>
    <col min="3" max="3" width="5.265625" bestFit="1" customWidth="1"/>
    <col min="4" max="4" width="14.46484375" bestFit="1" customWidth="1"/>
    <col min="5" max="5" width="26.06640625" bestFit="1" customWidth="1"/>
    <col min="6" max="6" width="13.1328125" bestFit="1" customWidth="1"/>
    <col min="7" max="7" width="6.53125" bestFit="1" customWidth="1"/>
    <col min="8" max="8" width="13.6640625" bestFit="1" customWidth="1"/>
    <col min="9" max="9" width="8" bestFit="1" customWidth="1"/>
    <col min="10" max="10" width="15.06640625" bestFit="1" customWidth="1"/>
    <col min="11" max="11" width="16.46484375" bestFit="1" customWidth="1"/>
    <col min="12" max="12" width="16.46484375" customWidth="1"/>
  </cols>
  <sheetData>
    <row r="1" spans="1:13" x14ac:dyDescent="0.45">
      <c r="A1" t="s">
        <v>0</v>
      </c>
      <c r="B1" t="s">
        <v>1</v>
      </c>
      <c r="C1" t="s">
        <v>2</v>
      </c>
      <c r="D1" t="s">
        <v>3</v>
      </c>
      <c r="E1" t="s">
        <v>4</v>
      </c>
      <c r="F1" t="s">
        <v>5</v>
      </c>
      <c r="G1" t="s">
        <v>6</v>
      </c>
      <c r="H1" t="s">
        <v>7</v>
      </c>
      <c r="I1" t="s">
        <v>8</v>
      </c>
      <c r="J1" t="s">
        <v>9</v>
      </c>
      <c r="K1" t="s">
        <v>10</v>
      </c>
      <c r="L1" t="s">
        <v>2728</v>
      </c>
      <c r="M1" t="s">
        <v>2733</v>
      </c>
    </row>
    <row r="2" spans="1:13" x14ac:dyDescent="0.45">
      <c r="A2" t="s">
        <v>174</v>
      </c>
      <c r="B2" t="s">
        <v>12</v>
      </c>
      <c r="C2">
        <v>1</v>
      </c>
      <c r="D2" t="s">
        <v>19</v>
      </c>
      <c r="E2" t="s">
        <v>20</v>
      </c>
      <c r="F2">
        <v>1</v>
      </c>
      <c r="G2">
        <v>57</v>
      </c>
      <c r="H2" t="s">
        <v>953</v>
      </c>
      <c r="I2">
        <v>26</v>
      </c>
      <c r="J2" t="s">
        <v>16</v>
      </c>
      <c r="K2" t="s">
        <v>954</v>
      </c>
      <c r="L2" t="str">
        <f>IFERROR(IF(VALUE(tblRace2024[[#This Row],[Position]])=1,"Yes","No"),"No")</f>
        <v>Yes</v>
      </c>
      <c r="M2">
        <v>2024</v>
      </c>
    </row>
    <row r="3" spans="1:13" x14ac:dyDescent="0.45">
      <c r="A3" t="s">
        <v>174</v>
      </c>
      <c r="B3" t="s">
        <v>18</v>
      </c>
      <c r="C3">
        <v>11</v>
      </c>
      <c r="D3" t="s">
        <v>955</v>
      </c>
      <c r="E3" t="s">
        <v>20</v>
      </c>
      <c r="F3">
        <v>5</v>
      </c>
      <c r="G3">
        <v>57</v>
      </c>
      <c r="H3" t="s">
        <v>956</v>
      </c>
      <c r="I3">
        <v>18</v>
      </c>
      <c r="J3" t="s">
        <v>2</v>
      </c>
      <c r="K3" t="s">
        <v>957</v>
      </c>
      <c r="L3" t="str">
        <f>IFERROR(IF(VALUE(tblRace2024[[#This Row],[Position]])=1,"Yes","No"),"No")</f>
        <v>No</v>
      </c>
      <c r="M3">
        <v>2024</v>
      </c>
    </row>
    <row r="4" spans="1:13" x14ac:dyDescent="0.45">
      <c r="A4" t="s">
        <v>174</v>
      </c>
      <c r="B4" t="s">
        <v>23</v>
      </c>
      <c r="C4">
        <v>55</v>
      </c>
      <c r="D4" t="s">
        <v>87</v>
      </c>
      <c r="E4" t="s">
        <v>49</v>
      </c>
      <c r="F4">
        <v>4</v>
      </c>
      <c r="G4">
        <v>57</v>
      </c>
      <c r="H4" t="s">
        <v>958</v>
      </c>
      <c r="I4">
        <v>15</v>
      </c>
      <c r="J4" t="s">
        <v>2</v>
      </c>
      <c r="K4" t="s">
        <v>959</v>
      </c>
      <c r="L4" t="str">
        <f>IFERROR(IF(VALUE(tblRace2024[[#This Row],[Position]])=1,"Yes","No"),"No")</f>
        <v>No</v>
      </c>
      <c r="M4">
        <v>2024</v>
      </c>
    </row>
    <row r="5" spans="1:13" x14ac:dyDescent="0.45">
      <c r="A5" t="s">
        <v>174</v>
      </c>
      <c r="B5" t="s">
        <v>28</v>
      </c>
      <c r="C5">
        <v>16</v>
      </c>
      <c r="D5" t="s">
        <v>48</v>
      </c>
      <c r="E5" t="s">
        <v>49</v>
      </c>
      <c r="F5">
        <v>2</v>
      </c>
      <c r="G5">
        <v>57</v>
      </c>
      <c r="H5" t="s">
        <v>960</v>
      </c>
      <c r="I5">
        <v>12</v>
      </c>
      <c r="J5" t="s">
        <v>2</v>
      </c>
      <c r="K5" t="s">
        <v>961</v>
      </c>
      <c r="L5" t="str">
        <f>IFERROR(IF(VALUE(tblRace2024[[#This Row],[Position]])=1,"Yes","No"),"No")</f>
        <v>No</v>
      </c>
      <c r="M5">
        <v>2024</v>
      </c>
    </row>
    <row r="6" spans="1:13" x14ac:dyDescent="0.45">
      <c r="A6" t="s">
        <v>174</v>
      </c>
      <c r="B6" t="s">
        <v>32</v>
      </c>
      <c r="C6">
        <v>63</v>
      </c>
      <c r="D6" t="s">
        <v>24</v>
      </c>
      <c r="E6" t="s">
        <v>25</v>
      </c>
      <c r="F6">
        <v>3</v>
      </c>
      <c r="G6">
        <v>57</v>
      </c>
      <c r="H6" t="s">
        <v>962</v>
      </c>
      <c r="I6">
        <v>10</v>
      </c>
      <c r="J6" t="s">
        <v>2</v>
      </c>
      <c r="K6" t="s">
        <v>963</v>
      </c>
      <c r="L6" t="str">
        <f>IFERROR(IF(VALUE(tblRace2024[[#This Row],[Position]])=1,"Yes","No"),"No")</f>
        <v>No</v>
      </c>
      <c r="M6">
        <v>2024</v>
      </c>
    </row>
    <row r="7" spans="1:13" x14ac:dyDescent="0.45">
      <c r="A7" t="s">
        <v>174</v>
      </c>
      <c r="B7" t="s">
        <v>37</v>
      </c>
      <c r="C7">
        <v>4</v>
      </c>
      <c r="D7" t="s">
        <v>13</v>
      </c>
      <c r="E7" t="s">
        <v>14</v>
      </c>
      <c r="F7">
        <v>7</v>
      </c>
      <c r="G7">
        <v>57</v>
      </c>
      <c r="H7" t="s">
        <v>964</v>
      </c>
      <c r="I7">
        <v>8</v>
      </c>
      <c r="J7" t="s">
        <v>2</v>
      </c>
      <c r="K7" t="s">
        <v>965</v>
      </c>
      <c r="L7" t="str">
        <f>IFERROR(IF(VALUE(tblRace2024[[#This Row],[Position]])=1,"Yes","No"),"No")</f>
        <v>No</v>
      </c>
      <c r="M7">
        <v>2024</v>
      </c>
    </row>
    <row r="8" spans="1:13" x14ac:dyDescent="0.45">
      <c r="A8" t="s">
        <v>174</v>
      </c>
      <c r="B8" t="s">
        <v>42</v>
      </c>
      <c r="C8">
        <v>44</v>
      </c>
      <c r="D8" t="s">
        <v>57</v>
      </c>
      <c r="E8" t="s">
        <v>25</v>
      </c>
      <c r="F8">
        <v>9</v>
      </c>
      <c r="G8">
        <v>57</v>
      </c>
      <c r="H8" t="s">
        <v>966</v>
      </c>
      <c r="I8">
        <v>6</v>
      </c>
      <c r="J8" t="s">
        <v>2</v>
      </c>
      <c r="K8" t="s">
        <v>967</v>
      </c>
      <c r="L8" t="str">
        <f>IFERROR(IF(VALUE(tblRace2024[[#This Row],[Position]])=1,"Yes","No"),"No")</f>
        <v>No</v>
      </c>
      <c r="M8">
        <v>2024</v>
      </c>
    </row>
    <row r="9" spans="1:13" x14ac:dyDescent="0.45">
      <c r="A9" t="s">
        <v>174</v>
      </c>
      <c r="B9" t="s">
        <v>47</v>
      </c>
      <c r="C9">
        <v>81</v>
      </c>
      <c r="D9" t="s">
        <v>53</v>
      </c>
      <c r="E9" t="s">
        <v>14</v>
      </c>
      <c r="F9">
        <v>8</v>
      </c>
      <c r="G9">
        <v>57</v>
      </c>
      <c r="H9" t="s">
        <v>968</v>
      </c>
      <c r="I9">
        <v>4</v>
      </c>
      <c r="J9" t="s">
        <v>2</v>
      </c>
      <c r="K9" t="s">
        <v>969</v>
      </c>
      <c r="L9" t="str">
        <f>IFERROR(IF(VALUE(tblRace2024[[#This Row],[Position]])=1,"Yes","No"),"No")</f>
        <v>No</v>
      </c>
      <c r="M9">
        <v>2024</v>
      </c>
    </row>
    <row r="10" spans="1:13" x14ac:dyDescent="0.45">
      <c r="A10" t="s">
        <v>174</v>
      </c>
      <c r="B10" t="s">
        <v>52</v>
      </c>
      <c r="C10">
        <v>14</v>
      </c>
      <c r="D10" t="s">
        <v>85</v>
      </c>
      <c r="E10" t="s">
        <v>39</v>
      </c>
      <c r="F10">
        <v>6</v>
      </c>
      <c r="G10">
        <v>57</v>
      </c>
      <c r="H10" t="s">
        <v>970</v>
      </c>
      <c r="I10">
        <v>2</v>
      </c>
      <c r="J10" t="s">
        <v>2</v>
      </c>
      <c r="K10" t="s">
        <v>971</v>
      </c>
      <c r="L10" t="str">
        <f>IFERROR(IF(VALUE(tblRace2024[[#This Row],[Position]])=1,"Yes","No"),"No")</f>
        <v>No</v>
      </c>
      <c r="M10">
        <v>2024</v>
      </c>
    </row>
    <row r="11" spans="1:13" x14ac:dyDescent="0.45">
      <c r="A11" t="s">
        <v>174</v>
      </c>
      <c r="B11" t="s">
        <v>56</v>
      </c>
      <c r="C11">
        <v>18</v>
      </c>
      <c r="D11" t="s">
        <v>38</v>
      </c>
      <c r="E11" t="s">
        <v>39</v>
      </c>
      <c r="F11">
        <v>12</v>
      </c>
      <c r="G11">
        <v>57</v>
      </c>
      <c r="H11" t="s">
        <v>972</v>
      </c>
      <c r="I11">
        <v>1</v>
      </c>
      <c r="J11" t="s">
        <v>2</v>
      </c>
      <c r="K11" t="s">
        <v>973</v>
      </c>
      <c r="L11" t="str">
        <f>IFERROR(IF(VALUE(tblRace2024[[#This Row],[Position]])=1,"Yes","No"),"No")</f>
        <v>No</v>
      </c>
      <c r="M11">
        <v>2024</v>
      </c>
    </row>
    <row r="12" spans="1:13" x14ac:dyDescent="0.45">
      <c r="A12" t="s">
        <v>174</v>
      </c>
      <c r="B12" t="s">
        <v>60</v>
      </c>
      <c r="C12">
        <v>24</v>
      </c>
      <c r="D12" t="s">
        <v>974</v>
      </c>
      <c r="E12" t="s">
        <v>44</v>
      </c>
      <c r="F12">
        <v>17</v>
      </c>
      <c r="G12">
        <v>56</v>
      </c>
      <c r="H12" t="s">
        <v>118</v>
      </c>
      <c r="I12">
        <v>0</v>
      </c>
      <c r="J12" t="s">
        <v>2</v>
      </c>
      <c r="K12" t="s">
        <v>975</v>
      </c>
      <c r="L12" t="str">
        <f>IFERROR(IF(VALUE(tblRace2024[[#This Row],[Position]])=1,"Yes","No"),"No")</f>
        <v>No</v>
      </c>
      <c r="M12">
        <v>2024</v>
      </c>
    </row>
    <row r="13" spans="1:13" x14ac:dyDescent="0.45">
      <c r="A13" t="s">
        <v>174</v>
      </c>
      <c r="B13" t="s">
        <v>65</v>
      </c>
      <c r="C13">
        <v>20</v>
      </c>
      <c r="D13" t="s">
        <v>976</v>
      </c>
      <c r="E13" t="s">
        <v>72</v>
      </c>
      <c r="F13">
        <v>15</v>
      </c>
      <c r="G13">
        <v>56</v>
      </c>
      <c r="H13" t="s">
        <v>118</v>
      </c>
      <c r="I13">
        <v>0</v>
      </c>
      <c r="J13" t="s">
        <v>2</v>
      </c>
      <c r="K13" t="s">
        <v>977</v>
      </c>
      <c r="L13" t="str">
        <f>IFERROR(IF(VALUE(tblRace2024[[#This Row],[Position]])=1,"Yes","No"),"No")</f>
        <v>No</v>
      </c>
      <c r="M13">
        <v>2024</v>
      </c>
    </row>
    <row r="14" spans="1:13" x14ac:dyDescent="0.45">
      <c r="A14" t="s">
        <v>174</v>
      </c>
      <c r="B14" t="s">
        <v>70</v>
      </c>
      <c r="C14">
        <v>3</v>
      </c>
      <c r="D14" t="s">
        <v>978</v>
      </c>
      <c r="E14" t="s">
        <v>979</v>
      </c>
      <c r="F14">
        <v>14</v>
      </c>
      <c r="G14">
        <v>56</v>
      </c>
      <c r="H14" t="s">
        <v>118</v>
      </c>
      <c r="I14">
        <v>0</v>
      </c>
      <c r="J14" t="s">
        <v>2</v>
      </c>
      <c r="K14" t="s">
        <v>980</v>
      </c>
      <c r="L14" t="str">
        <f>IFERROR(IF(VALUE(tblRace2024[[#This Row],[Position]])=1,"Yes","No"),"No")</f>
        <v>No</v>
      </c>
      <c r="M14">
        <v>2024</v>
      </c>
    </row>
    <row r="15" spans="1:13" x14ac:dyDescent="0.45">
      <c r="A15" t="s">
        <v>174</v>
      </c>
      <c r="B15" t="s">
        <v>75</v>
      </c>
      <c r="C15">
        <v>22</v>
      </c>
      <c r="D15" t="s">
        <v>66</v>
      </c>
      <c r="E15" t="s">
        <v>979</v>
      </c>
      <c r="F15">
        <v>11</v>
      </c>
      <c r="G15">
        <v>56</v>
      </c>
      <c r="H15" t="s">
        <v>118</v>
      </c>
      <c r="I15">
        <v>0</v>
      </c>
      <c r="J15" t="s">
        <v>2</v>
      </c>
      <c r="K15" t="s">
        <v>981</v>
      </c>
      <c r="L15" t="str">
        <f>IFERROR(IF(VALUE(tblRace2024[[#This Row],[Position]])=1,"Yes","No"),"No")</f>
        <v>No</v>
      </c>
      <c r="M15">
        <v>2024</v>
      </c>
    </row>
    <row r="16" spans="1:13" x14ac:dyDescent="0.45">
      <c r="A16" t="s">
        <v>174</v>
      </c>
      <c r="B16" t="s">
        <v>120</v>
      </c>
      <c r="C16">
        <v>23</v>
      </c>
      <c r="D16" t="s">
        <v>33</v>
      </c>
      <c r="E16" t="s">
        <v>34</v>
      </c>
      <c r="F16">
        <v>13</v>
      </c>
      <c r="G16">
        <v>56</v>
      </c>
      <c r="H16" t="s">
        <v>118</v>
      </c>
      <c r="I16">
        <v>0</v>
      </c>
      <c r="J16" t="s">
        <v>2</v>
      </c>
      <c r="K16" t="s">
        <v>982</v>
      </c>
      <c r="L16" t="str">
        <f>IFERROR(IF(VALUE(tblRace2024[[#This Row],[Position]])=1,"Yes","No"),"No")</f>
        <v>No</v>
      </c>
      <c r="M16">
        <v>2024</v>
      </c>
    </row>
    <row r="17" spans="1:13" x14ac:dyDescent="0.45">
      <c r="A17" t="s">
        <v>174</v>
      </c>
      <c r="B17" t="s">
        <v>122</v>
      </c>
      <c r="C17">
        <v>27</v>
      </c>
      <c r="D17" t="s">
        <v>43</v>
      </c>
      <c r="E17" t="s">
        <v>72</v>
      </c>
      <c r="F17">
        <v>10</v>
      </c>
      <c r="G17">
        <v>56</v>
      </c>
      <c r="H17" t="s">
        <v>118</v>
      </c>
      <c r="I17">
        <v>0</v>
      </c>
      <c r="J17" t="s">
        <v>2</v>
      </c>
      <c r="K17" t="s">
        <v>983</v>
      </c>
      <c r="L17" t="str">
        <f>IFERROR(IF(VALUE(tblRace2024[[#This Row],[Position]])=1,"Yes","No"),"No")</f>
        <v>No</v>
      </c>
      <c r="M17">
        <v>2024</v>
      </c>
    </row>
    <row r="18" spans="1:13" x14ac:dyDescent="0.45">
      <c r="A18" t="s">
        <v>174</v>
      </c>
      <c r="B18" t="s">
        <v>163</v>
      </c>
      <c r="C18">
        <v>31</v>
      </c>
      <c r="D18" t="s">
        <v>71</v>
      </c>
      <c r="E18" t="s">
        <v>62</v>
      </c>
      <c r="F18">
        <v>19</v>
      </c>
      <c r="G18">
        <v>56</v>
      </c>
      <c r="H18" t="s">
        <v>118</v>
      </c>
      <c r="I18">
        <v>0</v>
      </c>
      <c r="J18" t="s">
        <v>2</v>
      </c>
      <c r="K18" t="s">
        <v>984</v>
      </c>
      <c r="L18" t="str">
        <f>IFERROR(IF(VALUE(tblRace2024[[#This Row],[Position]])=1,"Yes","No"),"No")</f>
        <v>No</v>
      </c>
      <c r="M18">
        <v>2024</v>
      </c>
    </row>
    <row r="19" spans="1:13" x14ac:dyDescent="0.45">
      <c r="A19" t="s">
        <v>174</v>
      </c>
      <c r="B19" t="s">
        <v>166</v>
      </c>
      <c r="C19">
        <v>10</v>
      </c>
      <c r="D19" t="s">
        <v>61</v>
      </c>
      <c r="E19" t="s">
        <v>62</v>
      </c>
      <c r="F19">
        <v>20</v>
      </c>
      <c r="G19">
        <v>56</v>
      </c>
      <c r="H19" t="s">
        <v>118</v>
      </c>
      <c r="I19">
        <v>0</v>
      </c>
      <c r="J19" t="s">
        <v>2</v>
      </c>
      <c r="K19" t="s">
        <v>985</v>
      </c>
      <c r="L19" t="str">
        <f>IFERROR(IF(VALUE(tblRace2024[[#This Row],[Position]])=1,"Yes","No"),"No")</f>
        <v>No</v>
      </c>
      <c r="M19">
        <v>2024</v>
      </c>
    </row>
    <row r="20" spans="1:13" x14ac:dyDescent="0.45">
      <c r="A20" t="s">
        <v>174</v>
      </c>
      <c r="B20" t="s">
        <v>169</v>
      </c>
      <c r="C20">
        <v>77</v>
      </c>
      <c r="D20" t="s">
        <v>986</v>
      </c>
      <c r="E20" t="s">
        <v>44</v>
      </c>
      <c r="F20">
        <v>16</v>
      </c>
      <c r="G20">
        <v>56</v>
      </c>
      <c r="H20" t="s">
        <v>118</v>
      </c>
      <c r="I20">
        <v>0</v>
      </c>
      <c r="J20" t="s">
        <v>2</v>
      </c>
      <c r="K20" t="s">
        <v>987</v>
      </c>
      <c r="L20" t="str">
        <f>IFERROR(IF(VALUE(tblRace2024[[#This Row],[Position]])=1,"Yes","No"),"No")</f>
        <v>No</v>
      </c>
      <c r="M20">
        <v>2024</v>
      </c>
    </row>
    <row r="21" spans="1:13" x14ac:dyDescent="0.45">
      <c r="A21" t="s">
        <v>174</v>
      </c>
      <c r="B21" t="s">
        <v>172</v>
      </c>
      <c r="C21">
        <v>2</v>
      </c>
      <c r="D21" t="s">
        <v>988</v>
      </c>
      <c r="E21" t="s">
        <v>34</v>
      </c>
      <c r="F21">
        <v>18</v>
      </c>
      <c r="G21">
        <v>55</v>
      </c>
      <c r="H21" t="s">
        <v>331</v>
      </c>
      <c r="I21">
        <v>0</v>
      </c>
      <c r="J21" t="s">
        <v>2</v>
      </c>
      <c r="K21" t="s">
        <v>989</v>
      </c>
      <c r="L21" t="str">
        <f>IFERROR(IF(VALUE(tblRace2024[[#This Row],[Position]])=1,"Yes","No"),"No")</f>
        <v>No</v>
      </c>
      <c r="M21">
        <v>2024</v>
      </c>
    </row>
    <row r="22" spans="1:13" x14ac:dyDescent="0.45">
      <c r="A22" t="s">
        <v>213</v>
      </c>
      <c r="B22" t="s">
        <v>12</v>
      </c>
      <c r="C22">
        <v>1</v>
      </c>
      <c r="D22" t="s">
        <v>19</v>
      </c>
      <c r="E22" t="s">
        <v>20</v>
      </c>
      <c r="F22">
        <v>1</v>
      </c>
      <c r="G22">
        <v>50</v>
      </c>
      <c r="H22" t="s">
        <v>990</v>
      </c>
      <c r="I22">
        <v>25</v>
      </c>
      <c r="J22" t="s">
        <v>2</v>
      </c>
      <c r="K22" t="s">
        <v>467</v>
      </c>
      <c r="L22" t="str">
        <f>IFERROR(IF(VALUE(tblRace2024[[#This Row],[Position]])=1,"Yes","No"),"No")</f>
        <v>Yes</v>
      </c>
      <c r="M22">
        <v>2024</v>
      </c>
    </row>
    <row r="23" spans="1:13" x14ac:dyDescent="0.45">
      <c r="A23" t="s">
        <v>213</v>
      </c>
      <c r="B23" t="s">
        <v>18</v>
      </c>
      <c r="C23">
        <v>11</v>
      </c>
      <c r="D23" t="s">
        <v>955</v>
      </c>
      <c r="E23" t="s">
        <v>20</v>
      </c>
      <c r="F23">
        <v>3</v>
      </c>
      <c r="G23">
        <v>50</v>
      </c>
      <c r="H23" t="s">
        <v>991</v>
      </c>
      <c r="I23">
        <v>18</v>
      </c>
      <c r="J23" t="s">
        <v>2</v>
      </c>
      <c r="K23" t="s">
        <v>992</v>
      </c>
      <c r="L23" t="str">
        <f>IFERROR(IF(VALUE(tblRace2024[[#This Row],[Position]])=1,"Yes","No"),"No")</f>
        <v>No</v>
      </c>
      <c r="M23">
        <v>2024</v>
      </c>
    </row>
    <row r="24" spans="1:13" x14ac:dyDescent="0.45">
      <c r="A24" t="s">
        <v>213</v>
      </c>
      <c r="B24" t="s">
        <v>23</v>
      </c>
      <c r="C24">
        <v>16</v>
      </c>
      <c r="D24" t="s">
        <v>48</v>
      </c>
      <c r="E24" t="s">
        <v>49</v>
      </c>
      <c r="F24">
        <v>2</v>
      </c>
      <c r="G24">
        <v>50</v>
      </c>
      <c r="H24" t="s">
        <v>993</v>
      </c>
      <c r="I24">
        <v>16</v>
      </c>
      <c r="J24" t="s">
        <v>16</v>
      </c>
      <c r="K24" t="s">
        <v>463</v>
      </c>
      <c r="L24" t="str">
        <f>IFERROR(IF(VALUE(tblRace2024[[#This Row],[Position]])=1,"Yes","No"),"No")</f>
        <v>No</v>
      </c>
      <c r="M24">
        <v>2024</v>
      </c>
    </row>
    <row r="25" spans="1:13" x14ac:dyDescent="0.45">
      <c r="A25" t="s">
        <v>213</v>
      </c>
      <c r="B25" t="s">
        <v>28</v>
      </c>
      <c r="C25">
        <v>81</v>
      </c>
      <c r="D25" t="s">
        <v>53</v>
      </c>
      <c r="E25" t="s">
        <v>14</v>
      </c>
      <c r="F25">
        <v>5</v>
      </c>
      <c r="G25">
        <v>50</v>
      </c>
      <c r="H25" t="s">
        <v>994</v>
      </c>
      <c r="I25">
        <v>12</v>
      </c>
      <c r="J25" t="s">
        <v>2</v>
      </c>
      <c r="K25" t="s">
        <v>995</v>
      </c>
      <c r="L25" t="str">
        <f>IFERROR(IF(VALUE(tblRace2024[[#This Row],[Position]])=1,"Yes","No"),"No")</f>
        <v>No</v>
      </c>
      <c r="M25">
        <v>2024</v>
      </c>
    </row>
    <row r="26" spans="1:13" x14ac:dyDescent="0.45">
      <c r="A26" t="s">
        <v>213</v>
      </c>
      <c r="B26" t="s">
        <v>32</v>
      </c>
      <c r="C26">
        <v>14</v>
      </c>
      <c r="D26" t="s">
        <v>85</v>
      </c>
      <c r="E26" t="s">
        <v>39</v>
      </c>
      <c r="F26">
        <v>4</v>
      </c>
      <c r="G26">
        <v>50</v>
      </c>
      <c r="H26" t="s">
        <v>996</v>
      </c>
      <c r="I26">
        <v>10</v>
      </c>
      <c r="J26" t="s">
        <v>2</v>
      </c>
      <c r="K26" t="s">
        <v>997</v>
      </c>
      <c r="L26" t="str">
        <f>IFERROR(IF(VALUE(tblRace2024[[#This Row],[Position]])=1,"Yes","No"),"No")</f>
        <v>No</v>
      </c>
      <c r="M26">
        <v>2024</v>
      </c>
    </row>
    <row r="27" spans="1:13" x14ac:dyDescent="0.45">
      <c r="A27" t="s">
        <v>213</v>
      </c>
      <c r="B27" t="s">
        <v>37</v>
      </c>
      <c r="C27">
        <v>63</v>
      </c>
      <c r="D27" t="s">
        <v>24</v>
      </c>
      <c r="E27" t="s">
        <v>25</v>
      </c>
      <c r="F27">
        <v>7</v>
      </c>
      <c r="G27">
        <v>50</v>
      </c>
      <c r="H27" t="s">
        <v>998</v>
      </c>
      <c r="I27">
        <v>8</v>
      </c>
      <c r="J27" t="s">
        <v>2</v>
      </c>
      <c r="K27" t="s">
        <v>999</v>
      </c>
      <c r="L27" t="str">
        <f>IFERROR(IF(VALUE(tblRace2024[[#This Row],[Position]])=1,"Yes","No"),"No")</f>
        <v>No</v>
      </c>
      <c r="M27">
        <v>2024</v>
      </c>
    </row>
    <row r="28" spans="1:13" x14ac:dyDescent="0.45">
      <c r="A28" t="s">
        <v>213</v>
      </c>
      <c r="B28" t="s">
        <v>42</v>
      </c>
      <c r="C28">
        <v>38</v>
      </c>
      <c r="D28" t="s">
        <v>76</v>
      </c>
      <c r="E28" t="s">
        <v>49</v>
      </c>
      <c r="F28">
        <v>11</v>
      </c>
      <c r="G28">
        <v>50</v>
      </c>
      <c r="H28" t="s">
        <v>1000</v>
      </c>
      <c r="I28">
        <v>6</v>
      </c>
      <c r="J28" t="s">
        <v>2</v>
      </c>
      <c r="K28" t="s">
        <v>556</v>
      </c>
      <c r="L28" t="str">
        <f>IFERROR(IF(VALUE(tblRace2024[[#This Row],[Position]])=1,"Yes","No"),"No")</f>
        <v>No</v>
      </c>
      <c r="M28">
        <v>2024</v>
      </c>
    </row>
    <row r="29" spans="1:13" x14ac:dyDescent="0.45">
      <c r="A29" t="s">
        <v>213</v>
      </c>
      <c r="B29" t="s">
        <v>47</v>
      </c>
      <c r="C29">
        <v>4</v>
      </c>
      <c r="D29" t="s">
        <v>13</v>
      </c>
      <c r="E29" t="s">
        <v>14</v>
      </c>
      <c r="F29">
        <v>6</v>
      </c>
      <c r="G29">
        <v>50</v>
      </c>
      <c r="H29" t="s">
        <v>1001</v>
      </c>
      <c r="I29">
        <v>4</v>
      </c>
      <c r="J29" t="s">
        <v>2</v>
      </c>
      <c r="K29" t="s">
        <v>1002</v>
      </c>
      <c r="L29" t="str">
        <f>IFERROR(IF(VALUE(tblRace2024[[#This Row],[Position]])=1,"Yes","No"),"No")</f>
        <v>No</v>
      </c>
      <c r="M29">
        <v>2024</v>
      </c>
    </row>
    <row r="30" spans="1:13" x14ac:dyDescent="0.45">
      <c r="A30" t="s">
        <v>213</v>
      </c>
      <c r="B30" t="s">
        <v>52</v>
      </c>
      <c r="C30">
        <v>44</v>
      </c>
      <c r="D30" t="s">
        <v>57</v>
      </c>
      <c r="E30" t="s">
        <v>25</v>
      </c>
      <c r="F30">
        <v>8</v>
      </c>
      <c r="G30">
        <v>50</v>
      </c>
      <c r="H30" t="s">
        <v>1003</v>
      </c>
      <c r="I30">
        <v>2</v>
      </c>
      <c r="J30" t="s">
        <v>2</v>
      </c>
      <c r="K30" t="s">
        <v>1004</v>
      </c>
      <c r="L30" t="str">
        <f>IFERROR(IF(VALUE(tblRace2024[[#This Row],[Position]])=1,"Yes","No"),"No")</f>
        <v>No</v>
      </c>
      <c r="M30">
        <v>2024</v>
      </c>
    </row>
    <row r="31" spans="1:13" x14ac:dyDescent="0.45">
      <c r="A31" t="s">
        <v>213</v>
      </c>
      <c r="B31" t="s">
        <v>56</v>
      </c>
      <c r="C31">
        <v>27</v>
      </c>
      <c r="D31" t="s">
        <v>43</v>
      </c>
      <c r="E31" t="s">
        <v>72</v>
      </c>
      <c r="F31">
        <v>15</v>
      </c>
      <c r="G31">
        <v>50</v>
      </c>
      <c r="H31" t="s">
        <v>1005</v>
      </c>
      <c r="I31">
        <v>1</v>
      </c>
      <c r="J31" t="s">
        <v>2</v>
      </c>
      <c r="K31" t="s">
        <v>1006</v>
      </c>
      <c r="L31" t="str">
        <f>IFERROR(IF(VALUE(tblRace2024[[#This Row],[Position]])=1,"Yes","No"),"No")</f>
        <v>No</v>
      </c>
      <c r="M31">
        <v>2024</v>
      </c>
    </row>
    <row r="32" spans="1:13" x14ac:dyDescent="0.45">
      <c r="A32" t="s">
        <v>213</v>
      </c>
      <c r="B32" t="s">
        <v>60</v>
      </c>
      <c r="C32">
        <v>23</v>
      </c>
      <c r="D32" t="s">
        <v>33</v>
      </c>
      <c r="E32" t="s">
        <v>34</v>
      </c>
      <c r="F32">
        <v>12</v>
      </c>
      <c r="G32">
        <v>50</v>
      </c>
      <c r="H32" t="s">
        <v>1007</v>
      </c>
      <c r="I32">
        <v>0</v>
      </c>
      <c r="J32" t="s">
        <v>2</v>
      </c>
      <c r="K32" t="s">
        <v>1008</v>
      </c>
      <c r="L32" t="str">
        <f>IFERROR(IF(VALUE(tblRace2024[[#This Row],[Position]])=1,"Yes","No"),"No")</f>
        <v>No</v>
      </c>
      <c r="M32">
        <v>2024</v>
      </c>
    </row>
    <row r="33" spans="1:13" x14ac:dyDescent="0.45">
      <c r="A33" t="s">
        <v>213</v>
      </c>
      <c r="B33" t="s">
        <v>65</v>
      </c>
      <c r="C33">
        <v>20</v>
      </c>
      <c r="D33" t="s">
        <v>976</v>
      </c>
      <c r="E33" t="s">
        <v>72</v>
      </c>
      <c r="F33">
        <v>13</v>
      </c>
      <c r="G33">
        <v>50</v>
      </c>
      <c r="H33" t="s">
        <v>1009</v>
      </c>
      <c r="I33">
        <v>0</v>
      </c>
      <c r="J33" t="s">
        <v>2</v>
      </c>
      <c r="K33" t="s">
        <v>1010</v>
      </c>
      <c r="L33" t="str">
        <f>IFERROR(IF(VALUE(tblRace2024[[#This Row],[Position]])=1,"Yes","No"),"No")</f>
        <v>No</v>
      </c>
      <c r="M33">
        <v>2024</v>
      </c>
    </row>
    <row r="34" spans="1:13" x14ac:dyDescent="0.45">
      <c r="A34" t="s">
        <v>213</v>
      </c>
      <c r="B34" t="s">
        <v>70</v>
      </c>
      <c r="C34">
        <v>31</v>
      </c>
      <c r="D34" t="s">
        <v>71</v>
      </c>
      <c r="E34" t="s">
        <v>62</v>
      </c>
      <c r="F34">
        <v>17</v>
      </c>
      <c r="G34">
        <v>49</v>
      </c>
      <c r="H34" t="s">
        <v>118</v>
      </c>
      <c r="I34">
        <v>0</v>
      </c>
      <c r="J34" t="s">
        <v>2</v>
      </c>
      <c r="K34" t="s">
        <v>1011</v>
      </c>
      <c r="L34" t="str">
        <f>IFERROR(IF(VALUE(tblRace2024[[#This Row],[Position]])=1,"Yes","No"),"No")</f>
        <v>No</v>
      </c>
      <c r="M34">
        <v>2024</v>
      </c>
    </row>
    <row r="35" spans="1:13" x14ac:dyDescent="0.45">
      <c r="A35" t="s">
        <v>213</v>
      </c>
      <c r="B35" t="s">
        <v>75</v>
      </c>
      <c r="C35">
        <v>2</v>
      </c>
      <c r="D35" t="s">
        <v>988</v>
      </c>
      <c r="E35" t="s">
        <v>34</v>
      </c>
      <c r="F35">
        <v>19</v>
      </c>
      <c r="G35">
        <v>49</v>
      </c>
      <c r="H35" t="s">
        <v>118</v>
      </c>
      <c r="I35">
        <v>0</v>
      </c>
      <c r="J35" t="s">
        <v>2</v>
      </c>
      <c r="K35" t="s">
        <v>1012</v>
      </c>
      <c r="L35" t="str">
        <f>IFERROR(IF(VALUE(tblRace2024[[#This Row],[Position]])=1,"Yes","No"),"No")</f>
        <v>No</v>
      </c>
      <c r="M35">
        <v>2024</v>
      </c>
    </row>
    <row r="36" spans="1:13" x14ac:dyDescent="0.45">
      <c r="A36" t="s">
        <v>213</v>
      </c>
      <c r="B36" t="s">
        <v>120</v>
      </c>
      <c r="C36">
        <v>22</v>
      </c>
      <c r="D36" t="s">
        <v>66</v>
      </c>
      <c r="E36" t="s">
        <v>979</v>
      </c>
      <c r="F36">
        <v>9</v>
      </c>
      <c r="G36">
        <v>49</v>
      </c>
      <c r="H36" t="s">
        <v>118</v>
      </c>
      <c r="I36">
        <v>0</v>
      </c>
      <c r="J36" t="s">
        <v>2</v>
      </c>
      <c r="K36" t="s">
        <v>1013</v>
      </c>
      <c r="L36" t="str">
        <f>IFERROR(IF(VALUE(tblRace2024[[#This Row],[Position]])=1,"Yes","No"),"No")</f>
        <v>No</v>
      </c>
      <c r="M36">
        <v>2024</v>
      </c>
    </row>
    <row r="37" spans="1:13" x14ac:dyDescent="0.45">
      <c r="A37" t="s">
        <v>213</v>
      </c>
      <c r="B37" t="s">
        <v>122</v>
      </c>
      <c r="C37">
        <v>3</v>
      </c>
      <c r="D37" t="s">
        <v>978</v>
      </c>
      <c r="E37" t="s">
        <v>979</v>
      </c>
      <c r="F37">
        <v>14</v>
      </c>
      <c r="G37">
        <v>49</v>
      </c>
      <c r="H37" t="s">
        <v>118</v>
      </c>
      <c r="I37">
        <v>0</v>
      </c>
      <c r="J37" t="s">
        <v>2</v>
      </c>
      <c r="K37" t="s">
        <v>1014</v>
      </c>
      <c r="L37" t="str">
        <f>IFERROR(IF(VALUE(tblRace2024[[#This Row],[Position]])=1,"Yes","No"),"No")</f>
        <v>No</v>
      </c>
      <c r="M37">
        <v>2024</v>
      </c>
    </row>
    <row r="38" spans="1:13" x14ac:dyDescent="0.45">
      <c r="A38" t="s">
        <v>213</v>
      </c>
      <c r="B38" t="s">
        <v>163</v>
      </c>
      <c r="C38">
        <v>77</v>
      </c>
      <c r="D38" t="s">
        <v>986</v>
      </c>
      <c r="E38" t="s">
        <v>44</v>
      </c>
      <c r="F38">
        <v>16</v>
      </c>
      <c r="G38">
        <v>49</v>
      </c>
      <c r="H38" t="s">
        <v>118</v>
      </c>
      <c r="I38">
        <v>0</v>
      </c>
      <c r="J38" t="s">
        <v>2</v>
      </c>
      <c r="K38" t="s">
        <v>1015</v>
      </c>
      <c r="L38" t="str">
        <f>IFERROR(IF(VALUE(tblRace2024[[#This Row],[Position]])=1,"Yes","No"),"No")</f>
        <v>No</v>
      </c>
      <c r="M38">
        <v>2024</v>
      </c>
    </row>
    <row r="39" spans="1:13" x14ac:dyDescent="0.45">
      <c r="A39" t="s">
        <v>213</v>
      </c>
      <c r="B39" t="s">
        <v>166</v>
      </c>
      <c r="C39">
        <v>24</v>
      </c>
      <c r="D39" t="s">
        <v>974</v>
      </c>
      <c r="E39" t="s">
        <v>44</v>
      </c>
      <c r="F39">
        <v>20</v>
      </c>
      <c r="G39">
        <v>49</v>
      </c>
      <c r="H39" t="s">
        <v>118</v>
      </c>
      <c r="I39">
        <v>0</v>
      </c>
      <c r="J39" t="s">
        <v>2</v>
      </c>
      <c r="K39" t="s">
        <v>1016</v>
      </c>
      <c r="L39" t="str">
        <f>IFERROR(IF(VALUE(tblRace2024[[#This Row],[Position]])=1,"Yes","No"),"No")</f>
        <v>No</v>
      </c>
      <c r="M39">
        <v>2024</v>
      </c>
    </row>
    <row r="40" spans="1:13" x14ac:dyDescent="0.45">
      <c r="A40" t="s">
        <v>213</v>
      </c>
      <c r="B40" t="s">
        <v>79</v>
      </c>
      <c r="C40">
        <v>18</v>
      </c>
      <c r="D40" t="s">
        <v>38</v>
      </c>
      <c r="E40" t="s">
        <v>39</v>
      </c>
      <c r="F40">
        <v>10</v>
      </c>
      <c r="G40">
        <v>5</v>
      </c>
      <c r="H40" t="s">
        <v>81</v>
      </c>
      <c r="I40">
        <v>0</v>
      </c>
      <c r="J40" t="s">
        <v>2</v>
      </c>
      <c r="K40" t="s">
        <v>1017</v>
      </c>
      <c r="L40" t="str">
        <f>IFERROR(IF(VALUE(tblRace2024[[#This Row],[Position]])=1,"Yes","No"),"No")</f>
        <v>No</v>
      </c>
      <c r="M40">
        <v>2024</v>
      </c>
    </row>
    <row r="41" spans="1:13" x14ac:dyDescent="0.45">
      <c r="A41" t="s">
        <v>213</v>
      </c>
      <c r="B41" t="s">
        <v>79</v>
      </c>
      <c r="C41">
        <v>10</v>
      </c>
      <c r="D41" t="s">
        <v>61</v>
      </c>
      <c r="E41" t="s">
        <v>62</v>
      </c>
      <c r="F41">
        <v>18</v>
      </c>
      <c r="G41">
        <v>1</v>
      </c>
      <c r="H41" t="s">
        <v>81</v>
      </c>
      <c r="I41">
        <v>0</v>
      </c>
      <c r="J41" t="s">
        <v>2</v>
      </c>
      <c r="K41" t="s">
        <v>88</v>
      </c>
      <c r="L41" t="str">
        <f>IFERROR(IF(VALUE(tblRace2024[[#This Row],[Position]])=1,"Yes","No"),"No")</f>
        <v>No</v>
      </c>
      <c r="M41">
        <v>2024</v>
      </c>
    </row>
    <row r="42" spans="1:13" x14ac:dyDescent="0.45">
      <c r="A42" t="s">
        <v>11</v>
      </c>
      <c r="B42" t="s">
        <v>12</v>
      </c>
      <c r="C42">
        <v>55</v>
      </c>
      <c r="D42" t="s">
        <v>87</v>
      </c>
      <c r="E42" t="s">
        <v>49</v>
      </c>
      <c r="F42">
        <v>2</v>
      </c>
      <c r="G42">
        <v>58</v>
      </c>
      <c r="H42" t="s">
        <v>1018</v>
      </c>
      <c r="I42">
        <v>25</v>
      </c>
      <c r="J42" t="s">
        <v>2</v>
      </c>
      <c r="K42" t="s">
        <v>1019</v>
      </c>
      <c r="L42" t="str">
        <f>IFERROR(IF(VALUE(tblRace2024[[#This Row],[Position]])=1,"Yes","No"),"No")</f>
        <v>Yes</v>
      </c>
      <c r="M42">
        <v>2024</v>
      </c>
    </row>
    <row r="43" spans="1:13" x14ac:dyDescent="0.45">
      <c r="A43" t="s">
        <v>11</v>
      </c>
      <c r="B43" t="s">
        <v>18</v>
      </c>
      <c r="C43">
        <v>16</v>
      </c>
      <c r="D43" t="s">
        <v>48</v>
      </c>
      <c r="E43" t="s">
        <v>49</v>
      </c>
      <c r="F43">
        <v>4</v>
      </c>
      <c r="G43">
        <v>58</v>
      </c>
      <c r="H43" t="s">
        <v>1020</v>
      </c>
      <c r="I43">
        <v>19</v>
      </c>
      <c r="J43" t="s">
        <v>16</v>
      </c>
      <c r="K43" t="s">
        <v>1021</v>
      </c>
      <c r="L43" t="str">
        <f>IFERROR(IF(VALUE(tblRace2024[[#This Row],[Position]])=1,"Yes","No"),"No")</f>
        <v>No</v>
      </c>
      <c r="M43">
        <v>2024</v>
      </c>
    </row>
    <row r="44" spans="1:13" x14ac:dyDescent="0.45">
      <c r="A44" t="s">
        <v>11</v>
      </c>
      <c r="B44" t="s">
        <v>23</v>
      </c>
      <c r="C44">
        <v>4</v>
      </c>
      <c r="D44" t="s">
        <v>13</v>
      </c>
      <c r="E44" t="s">
        <v>14</v>
      </c>
      <c r="F44">
        <v>3</v>
      </c>
      <c r="G44">
        <v>58</v>
      </c>
      <c r="H44" t="s">
        <v>1022</v>
      </c>
      <c r="I44">
        <v>15</v>
      </c>
      <c r="J44" t="s">
        <v>2</v>
      </c>
      <c r="K44" t="s">
        <v>1023</v>
      </c>
      <c r="L44" t="str">
        <f>IFERROR(IF(VALUE(tblRace2024[[#This Row],[Position]])=1,"Yes","No"),"No")</f>
        <v>No</v>
      </c>
      <c r="M44">
        <v>2024</v>
      </c>
    </row>
    <row r="45" spans="1:13" x14ac:dyDescent="0.45">
      <c r="A45" t="s">
        <v>11</v>
      </c>
      <c r="B45" t="s">
        <v>28</v>
      </c>
      <c r="C45">
        <v>81</v>
      </c>
      <c r="D45" t="s">
        <v>53</v>
      </c>
      <c r="E45" t="s">
        <v>14</v>
      </c>
      <c r="F45">
        <v>5</v>
      </c>
      <c r="G45">
        <v>58</v>
      </c>
      <c r="H45" t="s">
        <v>1024</v>
      </c>
      <c r="I45">
        <v>12</v>
      </c>
      <c r="J45" t="s">
        <v>2</v>
      </c>
      <c r="K45" t="s">
        <v>1025</v>
      </c>
      <c r="L45" t="str">
        <f>IFERROR(IF(VALUE(tblRace2024[[#This Row],[Position]])=1,"Yes","No"),"No")</f>
        <v>No</v>
      </c>
      <c r="M45">
        <v>2024</v>
      </c>
    </row>
    <row r="46" spans="1:13" x14ac:dyDescent="0.45">
      <c r="A46" t="s">
        <v>11</v>
      </c>
      <c r="B46" t="s">
        <v>32</v>
      </c>
      <c r="C46">
        <v>11</v>
      </c>
      <c r="D46" t="s">
        <v>955</v>
      </c>
      <c r="E46" t="s">
        <v>20</v>
      </c>
      <c r="F46">
        <v>6</v>
      </c>
      <c r="G46">
        <v>58</v>
      </c>
      <c r="H46" t="s">
        <v>1026</v>
      </c>
      <c r="I46">
        <v>10</v>
      </c>
      <c r="J46" t="s">
        <v>2</v>
      </c>
      <c r="K46" t="s">
        <v>1027</v>
      </c>
      <c r="L46" t="str">
        <f>IFERROR(IF(VALUE(tblRace2024[[#This Row],[Position]])=1,"Yes","No"),"No")</f>
        <v>No</v>
      </c>
      <c r="M46">
        <v>2024</v>
      </c>
    </row>
    <row r="47" spans="1:13" x14ac:dyDescent="0.45">
      <c r="A47" t="s">
        <v>11</v>
      </c>
      <c r="B47" t="s">
        <v>37</v>
      </c>
      <c r="C47">
        <v>18</v>
      </c>
      <c r="D47" t="s">
        <v>38</v>
      </c>
      <c r="E47" t="s">
        <v>39</v>
      </c>
      <c r="F47">
        <v>9</v>
      </c>
      <c r="G47">
        <v>58</v>
      </c>
      <c r="H47" t="s">
        <v>1028</v>
      </c>
      <c r="I47">
        <v>8</v>
      </c>
      <c r="J47" t="s">
        <v>2</v>
      </c>
      <c r="K47" t="s">
        <v>1029</v>
      </c>
      <c r="L47" t="str">
        <f>IFERROR(IF(VALUE(tblRace2024[[#This Row],[Position]])=1,"Yes","No"),"No")</f>
        <v>No</v>
      </c>
      <c r="M47">
        <v>2024</v>
      </c>
    </row>
    <row r="48" spans="1:13" x14ac:dyDescent="0.45">
      <c r="A48" t="s">
        <v>11</v>
      </c>
      <c r="B48" t="s">
        <v>42</v>
      </c>
      <c r="C48">
        <v>22</v>
      </c>
      <c r="D48" t="s">
        <v>66</v>
      </c>
      <c r="E48" t="s">
        <v>979</v>
      </c>
      <c r="F48">
        <v>8</v>
      </c>
      <c r="G48">
        <v>58</v>
      </c>
      <c r="H48" t="s">
        <v>1030</v>
      </c>
      <c r="I48">
        <v>6</v>
      </c>
      <c r="J48" t="s">
        <v>2</v>
      </c>
      <c r="K48" t="s">
        <v>1031</v>
      </c>
      <c r="L48" t="str">
        <f>IFERROR(IF(VALUE(tblRace2024[[#This Row],[Position]])=1,"Yes","No"),"No")</f>
        <v>No</v>
      </c>
      <c r="M48">
        <v>2024</v>
      </c>
    </row>
    <row r="49" spans="1:13" x14ac:dyDescent="0.45">
      <c r="A49" t="s">
        <v>11</v>
      </c>
      <c r="B49" t="s">
        <v>47</v>
      </c>
      <c r="C49">
        <v>14</v>
      </c>
      <c r="D49" t="s">
        <v>85</v>
      </c>
      <c r="E49" t="s">
        <v>39</v>
      </c>
      <c r="F49">
        <v>10</v>
      </c>
      <c r="G49">
        <v>58</v>
      </c>
      <c r="H49" t="s">
        <v>1032</v>
      </c>
      <c r="I49">
        <v>4</v>
      </c>
      <c r="J49" t="s">
        <v>2</v>
      </c>
      <c r="K49" t="s">
        <v>1033</v>
      </c>
      <c r="L49" t="str">
        <f>IFERROR(IF(VALUE(tblRace2024[[#This Row],[Position]])=1,"Yes","No"),"No")</f>
        <v>No</v>
      </c>
      <c r="M49">
        <v>2024</v>
      </c>
    </row>
    <row r="50" spans="1:13" x14ac:dyDescent="0.45">
      <c r="A50" t="s">
        <v>11</v>
      </c>
      <c r="B50" t="s">
        <v>52</v>
      </c>
      <c r="C50">
        <v>27</v>
      </c>
      <c r="D50" t="s">
        <v>43</v>
      </c>
      <c r="E50" t="s">
        <v>72</v>
      </c>
      <c r="F50">
        <v>16</v>
      </c>
      <c r="G50">
        <v>58</v>
      </c>
      <c r="H50" t="s">
        <v>1034</v>
      </c>
      <c r="I50">
        <v>2</v>
      </c>
      <c r="J50" t="s">
        <v>2</v>
      </c>
      <c r="K50" t="s">
        <v>1035</v>
      </c>
      <c r="L50" t="str">
        <f>IFERROR(IF(VALUE(tblRace2024[[#This Row],[Position]])=1,"Yes","No"),"No")</f>
        <v>No</v>
      </c>
      <c r="M50">
        <v>2024</v>
      </c>
    </row>
    <row r="51" spans="1:13" x14ac:dyDescent="0.45">
      <c r="A51" t="s">
        <v>11</v>
      </c>
      <c r="B51" t="s">
        <v>56</v>
      </c>
      <c r="C51">
        <v>20</v>
      </c>
      <c r="D51" t="s">
        <v>976</v>
      </c>
      <c r="E51" t="s">
        <v>72</v>
      </c>
      <c r="F51">
        <v>14</v>
      </c>
      <c r="G51">
        <v>57</v>
      </c>
      <c r="H51" t="s">
        <v>118</v>
      </c>
      <c r="I51">
        <v>1</v>
      </c>
      <c r="J51" t="s">
        <v>2</v>
      </c>
      <c r="K51" t="s">
        <v>1036</v>
      </c>
      <c r="L51" t="str">
        <f>IFERROR(IF(VALUE(tblRace2024[[#This Row],[Position]])=1,"Yes","No"),"No")</f>
        <v>No</v>
      </c>
      <c r="M51">
        <v>2024</v>
      </c>
    </row>
    <row r="52" spans="1:13" x14ac:dyDescent="0.45">
      <c r="A52" t="s">
        <v>11</v>
      </c>
      <c r="B52" t="s">
        <v>60</v>
      </c>
      <c r="C52">
        <v>23</v>
      </c>
      <c r="D52" t="s">
        <v>33</v>
      </c>
      <c r="E52" t="s">
        <v>34</v>
      </c>
      <c r="F52">
        <v>12</v>
      </c>
      <c r="G52">
        <v>57</v>
      </c>
      <c r="H52" t="s">
        <v>118</v>
      </c>
      <c r="I52">
        <v>0</v>
      </c>
      <c r="J52" t="s">
        <v>2</v>
      </c>
      <c r="K52" t="s">
        <v>1037</v>
      </c>
      <c r="L52" t="str">
        <f>IFERROR(IF(VALUE(tblRace2024[[#This Row],[Position]])=1,"Yes","No"),"No")</f>
        <v>No</v>
      </c>
      <c r="M52">
        <v>2024</v>
      </c>
    </row>
    <row r="53" spans="1:13" x14ac:dyDescent="0.45">
      <c r="A53" t="s">
        <v>11</v>
      </c>
      <c r="B53" t="s">
        <v>65</v>
      </c>
      <c r="C53">
        <v>3</v>
      </c>
      <c r="D53" t="s">
        <v>978</v>
      </c>
      <c r="E53" t="s">
        <v>979</v>
      </c>
      <c r="F53">
        <v>18</v>
      </c>
      <c r="G53">
        <v>57</v>
      </c>
      <c r="H53" t="s">
        <v>118</v>
      </c>
      <c r="I53">
        <v>0</v>
      </c>
      <c r="J53" t="s">
        <v>2</v>
      </c>
      <c r="K53" t="s">
        <v>1038</v>
      </c>
      <c r="L53" t="str">
        <f>IFERROR(IF(VALUE(tblRace2024[[#This Row],[Position]])=1,"Yes","No"),"No")</f>
        <v>No</v>
      </c>
      <c r="M53">
        <v>2024</v>
      </c>
    </row>
    <row r="54" spans="1:13" x14ac:dyDescent="0.45">
      <c r="A54" t="s">
        <v>11</v>
      </c>
      <c r="B54" t="s">
        <v>70</v>
      </c>
      <c r="C54">
        <v>10</v>
      </c>
      <c r="D54" t="s">
        <v>61</v>
      </c>
      <c r="E54" t="s">
        <v>62</v>
      </c>
      <c r="F54">
        <v>17</v>
      </c>
      <c r="G54">
        <v>57</v>
      </c>
      <c r="H54" t="s">
        <v>118</v>
      </c>
      <c r="I54">
        <v>0</v>
      </c>
      <c r="J54" t="s">
        <v>2</v>
      </c>
      <c r="K54" t="s">
        <v>1039</v>
      </c>
      <c r="L54" t="str">
        <f>IFERROR(IF(VALUE(tblRace2024[[#This Row],[Position]])=1,"Yes","No"),"No")</f>
        <v>No</v>
      </c>
      <c r="M54">
        <v>2024</v>
      </c>
    </row>
    <row r="55" spans="1:13" x14ac:dyDescent="0.45">
      <c r="A55" t="s">
        <v>11</v>
      </c>
      <c r="B55" t="s">
        <v>75</v>
      </c>
      <c r="C55">
        <v>77</v>
      </c>
      <c r="D55" t="s">
        <v>986</v>
      </c>
      <c r="E55" t="s">
        <v>44</v>
      </c>
      <c r="F55">
        <v>13</v>
      </c>
      <c r="G55">
        <v>57</v>
      </c>
      <c r="H55" t="s">
        <v>118</v>
      </c>
      <c r="I55">
        <v>0</v>
      </c>
      <c r="J55" t="s">
        <v>2</v>
      </c>
      <c r="K55" t="s">
        <v>1040</v>
      </c>
      <c r="L55" t="str">
        <f>IFERROR(IF(VALUE(tblRace2024[[#This Row],[Position]])=1,"Yes","No"),"No")</f>
        <v>No</v>
      </c>
      <c r="M55">
        <v>2024</v>
      </c>
    </row>
    <row r="56" spans="1:13" x14ac:dyDescent="0.45">
      <c r="A56" t="s">
        <v>11</v>
      </c>
      <c r="B56" t="s">
        <v>120</v>
      </c>
      <c r="C56">
        <v>24</v>
      </c>
      <c r="D56" t="s">
        <v>974</v>
      </c>
      <c r="E56" t="s">
        <v>44</v>
      </c>
      <c r="F56">
        <v>19</v>
      </c>
      <c r="G56">
        <v>57</v>
      </c>
      <c r="H56" t="s">
        <v>118</v>
      </c>
      <c r="I56">
        <v>0</v>
      </c>
      <c r="J56" t="s">
        <v>2</v>
      </c>
      <c r="K56" t="s">
        <v>1041</v>
      </c>
      <c r="L56" t="str">
        <f>IFERROR(IF(VALUE(tblRace2024[[#This Row],[Position]])=1,"Yes","No"),"No")</f>
        <v>No</v>
      </c>
      <c r="M56">
        <v>2024</v>
      </c>
    </row>
    <row r="57" spans="1:13" x14ac:dyDescent="0.45">
      <c r="A57" t="s">
        <v>11</v>
      </c>
      <c r="B57" t="s">
        <v>122</v>
      </c>
      <c r="C57">
        <v>31</v>
      </c>
      <c r="D57" t="s">
        <v>71</v>
      </c>
      <c r="E57" t="s">
        <v>62</v>
      </c>
      <c r="F57">
        <v>15</v>
      </c>
      <c r="G57">
        <v>57</v>
      </c>
      <c r="H57" t="s">
        <v>118</v>
      </c>
      <c r="I57">
        <v>0</v>
      </c>
      <c r="J57" t="s">
        <v>2</v>
      </c>
      <c r="K57" t="s">
        <v>1042</v>
      </c>
      <c r="L57" t="str">
        <f>IFERROR(IF(VALUE(tblRace2024[[#This Row],[Position]])=1,"Yes","No"),"No")</f>
        <v>No</v>
      </c>
      <c r="M57">
        <v>2024</v>
      </c>
    </row>
    <row r="58" spans="1:13" x14ac:dyDescent="0.45">
      <c r="A58" t="s">
        <v>11</v>
      </c>
      <c r="B58" t="s">
        <v>163</v>
      </c>
      <c r="C58">
        <v>63</v>
      </c>
      <c r="D58" t="s">
        <v>24</v>
      </c>
      <c r="E58" t="s">
        <v>25</v>
      </c>
      <c r="F58">
        <v>7</v>
      </c>
      <c r="G58">
        <v>56</v>
      </c>
      <c r="H58" t="s">
        <v>81</v>
      </c>
      <c r="I58">
        <v>0</v>
      </c>
      <c r="J58" t="s">
        <v>2</v>
      </c>
      <c r="K58" t="s">
        <v>1043</v>
      </c>
      <c r="L58" t="str">
        <f>IFERROR(IF(VALUE(tblRace2024[[#This Row],[Position]])=1,"Yes","No"),"No")</f>
        <v>No</v>
      </c>
      <c r="M58">
        <v>2024</v>
      </c>
    </row>
    <row r="59" spans="1:13" x14ac:dyDescent="0.45">
      <c r="A59" t="s">
        <v>11</v>
      </c>
      <c r="B59" t="s">
        <v>79</v>
      </c>
      <c r="C59">
        <v>44</v>
      </c>
      <c r="D59" t="s">
        <v>57</v>
      </c>
      <c r="E59" t="s">
        <v>25</v>
      </c>
      <c r="F59">
        <v>11</v>
      </c>
      <c r="G59">
        <v>15</v>
      </c>
      <c r="H59" t="s">
        <v>81</v>
      </c>
      <c r="I59">
        <v>0</v>
      </c>
      <c r="J59" t="s">
        <v>2</v>
      </c>
      <c r="K59" t="s">
        <v>1044</v>
      </c>
      <c r="L59" t="str">
        <f>IFERROR(IF(VALUE(tblRace2024[[#This Row],[Position]])=1,"Yes","No"),"No")</f>
        <v>No</v>
      </c>
      <c r="M59">
        <v>2024</v>
      </c>
    </row>
    <row r="60" spans="1:13" x14ac:dyDescent="0.45">
      <c r="A60" t="s">
        <v>11</v>
      </c>
      <c r="B60" t="s">
        <v>79</v>
      </c>
      <c r="C60">
        <v>1</v>
      </c>
      <c r="D60" t="s">
        <v>19</v>
      </c>
      <c r="E60" t="s">
        <v>20</v>
      </c>
      <c r="F60">
        <v>1</v>
      </c>
      <c r="G60">
        <v>3</v>
      </c>
      <c r="H60" t="s">
        <v>81</v>
      </c>
      <c r="I60">
        <v>0</v>
      </c>
      <c r="J60" t="s">
        <v>2</v>
      </c>
      <c r="K60" t="s">
        <v>1045</v>
      </c>
      <c r="L60" t="str">
        <f>IFERROR(IF(VALUE(tblRace2024[[#This Row],[Position]])=1,"Yes","No"),"No")</f>
        <v>No</v>
      </c>
      <c r="M60">
        <v>2024</v>
      </c>
    </row>
    <row r="61" spans="1:13" x14ac:dyDescent="0.45">
      <c r="A61" t="s">
        <v>130</v>
      </c>
      <c r="B61" t="s">
        <v>12</v>
      </c>
      <c r="C61">
        <v>1</v>
      </c>
      <c r="D61" t="s">
        <v>19</v>
      </c>
      <c r="E61" t="s">
        <v>20</v>
      </c>
      <c r="F61">
        <v>1</v>
      </c>
      <c r="G61">
        <v>53</v>
      </c>
      <c r="H61" t="s">
        <v>1046</v>
      </c>
      <c r="I61">
        <v>26</v>
      </c>
      <c r="J61" t="s">
        <v>16</v>
      </c>
      <c r="K61" t="s">
        <v>1047</v>
      </c>
      <c r="L61" t="str">
        <f>IFERROR(IF(VALUE(tblRace2024[[#This Row],[Position]])=1,"Yes","No"),"No")</f>
        <v>Yes</v>
      </c>
      <c r="M61">
        <v>2024</v>
      </c>
    </row>
    <row r="62" spans="1:13" x14ac:dyDescent="0.45">
      <c r="A62" t="s">
        <v>130</v>
      </c>
      <c r="B62" t="s">
        <v>18</v>
      </c>
      <c r="C62">
        <v>11</v>
      </c>
      <c r="D62" t="s">
        <v>955</v>
      </c>
      <c r="E62" t="s">
        <v>20</v>
      </c>
      <c r="F62">
        <v>2</v>
      </c>
      <c r="G62">
        <v>53</v>
      </c>
      <c r="H62" t="s">
        <v>1048</v>
      </c>
      <c r="I62">
        <v>18</v>
      </c>
      <c r="J62" t="s">
        <v>2</v>
      </c>
      <c r="K62" t="s">
        <v>1049</v>
      </c>
      <c r="L62" t="str">
        <f>IFERROR(IF(VALUE(tblRace2024[[#This Row],[Position]])=1,"Yes","No"),"No")</f>
        <v>No</v>
      </c>
      <c r="M62">
        <v>2024</v>
      </c>
    </row>
    <row r="63" spans="1:13" x14ac:dyDescent="0.45">
      <c r="A63" t="s">
        <v>130</v>
      </c>
      <c r="B63" t="s">
        <v>23</v>
      </c>
      <c r="C63">
        <v>55</v>
      </c>
      <c r="D63" t="s">
        <v>87</v>
      </c>
      <c r="E63" t="s">
        <v>49</v>
      </c>
      <c r="F63">
        <v>4</v>
      </c>
      <c r="G63">
        <v>53</v>
      </c>
      <c r="H63" t="s">
        <v>1050</v>
      </c>
      <c r="I63">
        <v>15</v>
      </c>
      <c r="J63" t="s">
        <v>2</v>
      </c>
      <c r="K63" t="s">
        <v>1051</v>
      </c>
      <c r="L63" t="str">
        <f>IFERROR(IF(VALUE(tblRace2024[[#This Row],[Position]])=1,"Yes","No"),"No")</f>
        <v>No</v>
      </c>
      <c r="M63">
        <v>2024</v>
      </c>
    </row>
    <row r="64" spans="1:13" x14ac:dyDescent="0.45">
      <c r="A64" t="s">
        <v>130</v>
      </c>
      <c r="B64" t="s">
        <v>28</v>
      </c>
      <c r="C64">
        <v>16</v>
      </c>
      <c r="D64" t="s">
        <v>48</v>
      </c>
      <c r="E64" t="s">
        <v>49</v>
      </c>
      <c r="F64">
        <v>8</v>
      </c>
      <c r="G64">
        <v>53</v>
      </c>
      <c r="H64" t="s">
        <v>1052</v>
      </c>
      <c r="I64">
        <v>12</v>
      </c>
      <c r="J64" t="s">
        <v>2</v>
      </c>
      <c r="K64" t="s">
        <v>1053</v>
      </c>
      <c r="L64" t="str">
        <f>IFERROR(IF(VALUE(tblRace2024[[#This Row],[Position]])=1,"Yes","No"),"No")</f>
        <v>No</v>
      </c>
      <c r="M64">
        <v>2024</v>
      </c>
    </row>
    <row r="65" spans="1:13" x14ac:dyDescent="0.45">
      <c r="A65" t="s">
        <v>130</v>
      </c>
      <c r="B65" t="s">
        <v>32</v>
      </c>
      <c r="C65">
        <v>4</v>
      </c>
      <c r="D65" t="s">
        <v>13</v>
      </c>
      <c r="E65" t="s">
        <v>14</v>
      </c>
      <c r="F65">
        <v>3</v>
      </c>
      <c r="G65">
        <v>53</v>
      </c>
      <c r="H65" t="s">
        <v>1054</v>
      </c>
      <c r="I65">
        <v>10</v>
      </c>
      <c r="J65" t="s">
        <v>2</v>
      </c>
      <c r="K65" t="s">
        <v>1055</v>
      </c>
      <c r="L65" t="str">
        <f>IFERROR(IF(VALUE(tblRace2024[[#This Row],[Position]])=1,"Yes","No"),"No")</f>
        <v>No</v>
      </c>
      <c r="M65">
        <v>2024</v>
      </c>
    </row>
    <row r="66" spans="1:13" x14ac:dyDescent="0.45">
      <c r="A66" t="s">
        <v>130</v>
      </c>
      <c r="B66" t="s">
        <v>37</v>
      </c>
      <c r="C66">
        <v>14</v>
      </c>
      <c r="D66" t="s">
        <v>85</v>
      </c>
      <c r="E66" t="s">
        <v>39</v>
      </c>
      <c r="F66">
        <v>5</v>
      </c>
      <c r="G66">
        <v>53</v>
      </c>
      <c r="H66" t="s">
        <v>1056</v>
      </c>
      <c r="I66">
        <v>8</v>
      </c>
      <c r="J66" t="s">
        <v>2</v>
      </c>
      <c r="K66" t="s">
        <v>1057</v>
      </c>
      <c r="L66" t="str">
        <f>IFERROR(IF(VALUE(tblRace2024[[#This Row],[Position]])=1,"Yes","No"),"No")</f>
        <v>No</v>
      </c>
      <c r="M66">
        <v>2024</v>
      </c>
    </row>
    <row r="67" spans="1:13" x14ac:dyDescent="0.45">
      <c r="A67" t="s">
        <v>130</v>
      </c>
      <c r="B67" t="s">
        <v>42</v>
      </c>
      <c r="C67">
        <v>63</v>
      </c>
      <c r="D67" t="s">
        <v>24</v>
      </c>
      <c r="E67" t="s">
        <v>25</v>
      </c>
      <c r="F67">
        <v>9</v>
      </c>
      <c r="G67">
        <v>53</v>
      </c>
      <c r="H67" t="s">
        <v>1058</v>
      </c>
      <c r="I67">
        <v>6</v>
      </c>
      <c r="J67" t="s">
        <v>2</v>
      </c>
      <c r="K67" t="s">
        <v>1059</v>
      </c>
      <c r="L67" t="str">
        <f>IFERROR(IF(VALUE(tblRace2024[[#This Row],[Position]])=1,"Yes","No"),"No")</f>
        <v>No</v>
      </c>
      <c r="M67">
        <v>2024</v>
      </c>
    </row>
    <row r="68" spans="1:13" x14ac:dyDescent="0.45">
      <c r="A68" t="s">
        <v>130</v>
      </c>
      <c r="B68" t="s">
        <v>47</v>
      </c>
      <c r="C68">
        <v>81</v>
      </c>
      <c r="D68" t="s">
        <v>53</v>
      </c>
      <c r="E68" t="s">
        <v>14</v>
      </c>
      <c r="F68">
        <v>6</v>
      </c>
      <c r="G68">
        <v>53</v>
      </c>
      <c r="H68" t="s">
        <v>1060</v>
      </c>
      <c r="I68">
        <v>4</v>
      </c>
      <c r="J68" t="s">
        <v>2</v>
      </c>
      <c r="K68" t="s">
        <v>1061</v>
      </c>
      <c r="L68" t="str">
        <f>IFERROR(IF(VALUE(tblRace2024[[#This Row],[Position]])=1,"Yes","No"),"No")</f>
        <v>No</v>
      </c>
      <c r="M68">
        <v>2024</v>
      </c>
    </row>
    <row r="69" spans="1:13" x14ac:dyDescent="0.45">
      <c r="A69" t="s">
        <v>130</v>
      </c>
      <c r="B69" t="s">
        <v>52</v>
      </c>
      <c r="C69">
        <v>44</v>
      </c>
      <c r="D69" t="s">
        <v>57</v>
      </c>
      <c r="E69" t="s">
        <v>25</v>
      </c>
      <c r="F69">
        <v>7</v>
      </c>
      <c r="G69">
        <v>53</v>
      </c>
      <c r="H69" t="s">
        <v>1062</v>
      </c>
      <c r="I69">
        <v>2</v>
      </c>
      <c r="J69" t="s">
        <v>2</v>
      </c>
      <c r="K69" t="s">
        <v>1063</v>
      </c>
      <c r="L69" t="str">
        <f>IFERROR(IF(VALUE(tblRace2024[[#This Row],[Position]])=1,"Yes","No"),"No")</f>
        <v>No</v>
      </c>
      <c r="M69">
        <v>2024</v>
      </c>
    </row>
    <row r="70" spans="1:13" x14ac:dyDescent="0.45">
      <c r="A70" t="s">
        <v>130</v>
      </c>
      <c r="B70" t="s">
        <v>56</v>
      </c>
      <c r="C70">
        <v>22</v>
      </c>
      <c r="D70" t="s">
        <v>66</v>
      </c>
      <c r="E70" t="s">
        <v>979</v>
      </c>
      <c r="F70">
        <v>10</v>
      </c>
      <c r="G70">
        <v>52</v>
      </c>
      <c r="H70" t="s">
        <v>118</v>
      </c>
      <c r="I70">
        <v>1</v>
      </c>
      <c r="J70" t="s">
        <v>2</v>
      </c>
      <c r="K70" t="s">
        <v>1064</v>
      </c>
      <c r="L70" t="str">
        <f>IFERROR(IF(VALUE(tblRace2024[[#This Row],[Position]])=1,"Yes","No"),"No")</f>
        <v>No</v>
      </c>
      <c r="M70">
        <v>2024</v>
      </c>
    </row>
    <row r="71" spans="1:13" x14ac:dyDescent="0.45">
      <c r="A71" t="s">
        <v>130</v>
      </c>
      <c r="B71" t="s">
        <v>60</v>
      </c>
      <c r="C71">
        <v>27</v>
      </c>
      <c r="D71" t="s">
        <v>43</v>
      </c>
      <c r="E71" t="s">
        <v>72</v>
      </c>
      <c r="F71">
        <v>12</v>
      </c>
      <c r="G71">
        <v>52</v>
      </c>
      <c r="H71" t="s">
        <v>118</v>
      </c>
      <c r="I71">
        <v>0</v>
      </c>
      <c r="J71" t="s">
        <v>2</v>
      </c>
      <c r="K71" t="s">
        <v>1065</v>
      </c>
      <c r="L71" t="str">
        <f>IFERROR(IF(VALUE(tblRace2024[[#This Row],[Position]])=1,"Yes","No"),"No")</f>
        <v>No</v>
      </c>
      <c r="M71">
        <v>2024</v>
      </c>
    </row>
    <row r="72" spans="1:13" x14ac:dyDescent="0.45">
      <c r="A72" t="s">
        <v>130</v>
      </c>
      <c r="B72" t="s">
        <v>65</v>
      </c>
      <c r="C72">
        <v>18</v>
      </c>
      <c r="D72" t="s">
        <v>38</v>
      </c>
      <c r="E72" t="s">
        <v>39</v>
      </c>
      <c r="F72">
        <v>16</v>
      </c>
      <c r="G72">
        <v>52</v>
      </c>
      <c r="H72" t="s">
        <v>118</v>
      </c>
      <c r="I72">
        <v>0</v>
      </c>
      <c r="J72" t="s">
        <v>2</v>
      </c>
      <c r="K72" t="s">
        <v>1066</v>
      </c>
      <c r="L72" t="str">
        <f>IFERROR(IF(VALUE(tblRace2024[[#This Row],[Position]])=1,"Yes","No"),"No")</f>
        <v>No</v>
      </c>
      <c r="M72">
        <v>2024</v>
      </c>
    </row>
    <row r="73" spans="1:13" x14ac:dyDescent="0.45">
      <c r="A73" t="s">
        <v>130</v>
      </c>
      <c r="B73" t="s">
        <v>70</v>
      </c>
      <c r="C73">
        <v>20</v>
      </c>
      <c r="D73" t="s">
        <v>976</v>
      </c>
      <c r="E73" t="s">
        <v>72</v>
      </c>
      <c r="F73">
        <v>18</v>
      </c>
      <c r="G73">
        <v>52</v>
      </c>
      <c r="H73" t="s">
        <v>118</v>
      </c>
      <c r="I73">
        <v>0</v>
      </c>
      <c r="J73" t="s">
        <v>2</v>
      </c>
      <c r="K73" t="s">
        <v>1067</v>
      </c>
      <c r="L73" t="str">
        <f>IFERROR(IF(VALUE(tblRace2024[[#This Row],[Position]])=1,"Yes","No"),"No")</f>
        <v>No</v>
      </c>
      <c r="M73">
        <v>2024</v>
      </c>
    </row>
    <row r="74" spans="1:13" x14ac:dyDescent="0.45">
      <c r="A74" t="s">
        <v>130</v>
      </c>
      <c r="B74" t="s">
        <v>75</v>
      </c>
      <c r="C74">
        <v>77</v>
      </c>
      <c r="D74" t="s">
        <v>986</v>
      </c>
      <c r="E74" t="s">
        <v>44</v>
      </c>
      <c r="F74">
        <v>13</v>
      </c>
      <c r="G74">
        <v>52</v>
      </c>
      <c r="H74" t="s">
        <v>118</v>
      </c>
      <c r="I74">
        <v>0</v>
      </c>
      <c r="J74" t="s">
        <v>2</v>
      </c>
      <c r="K74" t="s">
        <v>1068</v>
      </c>
      <c r="L74" t="str">
        <f>IFERROR(IF(VALUE(tblRace2024[[#This Row],[Position]])=1,"Yes","No"),"No")</f>
        <v>No</v>
      </c>
      <c r="M74">
        <v>2024</v>
      </c>
    </row>
    <row r="75" spans="1:13" x14ac:dyDescent="0.45">
      <c r="A75" t="s">
        <v>130</v>
      </c>
      <c r="B75" t="s">
        <v>120</v>
      </c>
      <c r="C75">
        <v>31</v>
      </c>
      <c r="D75" t="s">
        <v>71</v>
      </c>
      <c r="E75" t="s">
        <v>62</v>
      </c>
      <c r="F75">
        <v>15</v>
      </c>
      <c r="G75">
        <v>52</v>
      </c>
      <c r="H75" t="s">
        <v>118</v>
      </c>
      <c r="I75">
        <v>0</v>
      </c>
      <c r="J75" t="s">
        <v>2</v>
      </c>
      <c r="K75" t="s">
        <v>1069</v>
      </c>
      <c r="L75" t="str">
        <f>IFERROR(IF(VALUE(tblRace2024[[#This Row],[Position]])=1,"Yes","No"),"No")</f>
        <v>No</v>
      </c>
      <c r="M75">
        <v>2024</v>
      </c>
    </row>
    <row r="76" spans="1:13" x14ac:dyDescent="0.45">
      <c r="A76" t="s">
        <v>130</v>
      </c>
      <c r="B76" t="s">
        <v>122</v>
      </c>
      <c r="C76">
        <v>10</v>
      </c>
      <c r="D76" t="s">
        <v>61</v>
      </c>
      <c r="E76" t="s">
        <v>62</v>
      </c>
      <c r="F76">
        <v>17</v>
      </c>
      <c r="G76">
        <v>52</v>
      </c>
      <c r="H76" t="s">
        <v>118</v>
      </c>
      <c r="I76">
        <v>0</v>
      </c>
      <c r="J76" t="s">
        <v>2</v>
      </c>
      <c r="K76" t="s">
        <v>1070</v>
      </c>
      <c r="L76" t="str">
        <f>IFERROR(IF(VALUE(tblRace2024[[#This Row],[Position]])=1,"Yes","No"),"No")</f>
        <v>No</v>
      </c>
      <c r="M76">
        <v>2024</v>
      </c>
    </row>
    <row r="77" spans="1:13" x14ac:dyDescent="0.45">
      <c r="A77" t="s">
        <v>130</v>
      </c>
      <c r="B77" t="s">
        <v>163</v>
      </c>
      <c r="C77">
        <v>2</v>
      </c>
      <c r="D77" t="s">
        <v>988</v>
      </c>
      <c r="E77" t="s">
        <v>34</v>
      </c>
      <c r="F77">
        <v>19</v>
      </c>
      <c r="G77">
        <v>52</v>
      </c>
      <c r="H77" t="s">
        <v>118</v>
      </c>
      <c r="I77">
        <v>0</v>
      </c>
      <c r="J77" t="s">
        <v>2</v>
      </c>
      <c r="K77" t="s">
        <v>1071</v>
      </c>
      <c r="L77" t="str">
        <f>IFERROR(IF(VALUE(tblRace2024[[#This Row],[Position]])=1,"Yes","No"),"No")</f>
        <v>No</v>
      </c>
      <c r="M77">
        <v>2024</v>
      </c>
    </row>
    <row r="78" spans="1:13" x14ac:dyDescent="0.45">
      <c r="A78" t="s">
        <v>130</v>
      </c>
      <c r="B78" t="s">
        <v>79</v>
      </c>
      <c r="C78">
        <v>24</v>
      </c>
      <c r="D78" t="s">
        <v>974</v>
      </c>
      <c r="E78" t="s">
        <v>44</v>
      </c>
      <c r="F78">
        <v>20</v>
      </c>
      <c r="G78">
        <v>12</v>
      </c>
      <c r="H78" t="s">
        <v>81</v>
      </c>
      <c r="I78">
        <v>0</v>
      </c>
      <c r="J78" t="s">
        <v>2</v>
      </c>
      <c r="K78" t="s">
        <v>1072</v>
      </c>
      <c r="L78" t="str">
        <f>IFERROR(IF(VALUE(tblRace2024[[#This Row],[Position]])=1,"Yes","No"),"No")</f>
        <v>No</v>
      </c>
      <c r="M78">
        <v>2024</v>
      </c>
    </row>
    <row r="79" spans="1:13" x14ac:dyDescent="0.45">
      <c r="A79" t="s">
        <v>130</v>
      </c>
      <c r="B79" t="s">
        <v>79</v>
      </c>
      <c r="C79">
        <v>3</v>
      </c>
      <c r="D79" t="s">
        <v>978</v>
      </c>
      <c r="E79" t="s">
        <v>979</v>
      </c>
      <c r="F79">
        <v>11</v>
      </c>
      <c r="G79">
        <v>0</v>
      </c>
      <c r="H79" t="s">
        <v>81</v>
      </c>
      <c r="I79">
        <v>0</v>
      </c>
      <c r="J79" t="s">
        <v>2</v>
      </c>
      <c r="K79" t="s">
        <v>88</v>
      </c>
      <c r="L79" t="str">
        <f>IFERROR(IF(VALUE(tblRace2024[[#This Row],[Position]])=1,"Yes","No"),"No")</f>
        <v>No</v>
      </c>
      <c r="M79">
        <v>2024</v>
      </c>
    </row>
    <row r="80" spans="1:13" x14ac:dyDescent="0.45">
      <c r="A80" t="s">
        <v>130</v>
      </c>
      <c r="B80" t="s">
        <v>79</v>
      </c>
      <c r="C80">
        <v>23</v>
      </c>
      <c r="D80" t="s">
        <v>33</v>
      </c>
      <c r="E80" t="s">
        <v>34</v>
      </c>
      <c r="F80">
        <v>14</v>
      </c>
      <c r="G80">
        <v>0</v>
      </c>
      <c r="H80" t="s">
        <v>81</v>
      </c>
      <c r="I80">
        <v>0</v>
      </c>
      <c r="J80" t="s">
        <v>2</v>
      </c>
      <c r="K80" t="s">
        <v>88</v>
      </c>
      <c r="L80" t="str">
        <f>IFERROR(IF(VALUE(tblRace2024[[#This Row],[Position]])=1,"Yes","No"),"No")</f>
        <v>No</v>
      </c>
      <c r="M80">
        <v>2024</v>
      </c>
    </row>
    <row r="81" spans="1:13" x14ac:dyDescent="0.45">
      <c r="A81" t="s">
        <v>91</v>
      </c>
      <c r="B81" t="s">
        <v>12</v>
      </c>
      <c r="C81">
        <v>1</v>
      </c>
      <c r="D81" t="s">
        <v>19</v>
      </c>
      <c r="E81" t="s">
        <v>20</v>
      </c>
      <c r="F81">
        <v>1</v>
      </c>
      <c r="G81">
        <v>56</v>
      </c>
      <c r="H81" t="s">
        <v>1073</v>
      </c>
      <c r="I81">
        <v>25</v>
      </c>
      <c r="J81" t="s">
        <v>2</v>
      </c>
      <c r="K81" t="s">
        <v>1074</v>
      </c>
      <c r="L81" t="str">
        <f>IFERROR(IF(VALUE(tblRace2024[[#This Row],[Position]])=1,"Yes","No"),"No")</f>
        <v>Yes</v>
      </c>
      <c r="M81">
        <v>2024</v>
      </c>
    </row>
    <row r="82" spans="1:13" x14ac:dyDescent="0.45">
      <c r="A82" t="s">
        <v>91</v>
      </c>
      <c r="B82" t="s">
        <v>18</v>
      </c>
      <c r="C82">
        <v>4</v>
      </c>
      <c r="D82" t="s">
        <v>13</v>
      </c>
      <c r="E82" t="s">
        <v>14</v>
      </c>
      <c r="F82">
        <v>4</v>
      </c>
      <c r="G82">
        <v>56</v>
      </c>
      <c r="H82" t="s">
        <v>1075</v>
      </c>
      <c r="I82">
        <v>18</v>
      </c>
      <c r="J82" t="s">
        <v>2</v>
      </c>
      <c r="K82" t="s">
        <v>1076</v>
      </c>
      <c r="L82" t="str">
        <f>IFERROR(IF(VALUE(tblRace2024[[#This Row],[Position]])=1,"Yes","No"),"No")</f>
        <v>No</v>
      </c>
      <c r="M82">
        <v>2024</v>
      </c>
    </row>
    <row r="83" spans="1:13" x14ac:dyDescent="0.45">
      <c r="A83" t="s">
        <v>91</v>
      </c>
      <c r="B83" t="s">
        <v>23</v>
      </c>
      <c r="C83">
        <v>11</v>
      </c>
      <c r="D83" t="s">
        <v>955</v>
      </c>
      <c r="E83" t="s">
        <v>20</v>
      </c>
      <c r="F83">
        <v>2</v>
      </c>
      <c r="G83">
        <v>56</v>
      </c>
      <c r="H83" t="s">
        <v>1077</v>
      </c>
      <c r="I83">
        <v>15</v>
      </c>
      <c r="J83" t="s">
        <v>2</v>
      </c>
      <c r="K83" t="s">
        <v>1078</v>
      </c>
      <c r="L83" t="str">
        <f>IFERROR(IF(VALUE(tblRace2024[[#This Row],[Position]])=1,"Yes","No"),"No")</f>
        <v>No</v>
      </c>
      <c r="M83">
        <v>2024</v>
      </c>
    </row>
    <row r="84" spans="1:13" x14ac:dyDescent="0.45">
      <c r="A84" t="s">
        <v>91</v>
      </c>
      <c r="B84" t="s">
        <v>28</v>
      </c>
      <c r="C84">
        <v>16</v>
      </c>
      <c r="D84" t="s">
        <v>48</v>
      </c>
      <c r="E84" t="s">
        <v>49</v>
      </c>
      <c r="F84">
        <v>6</v>
      </c>
      <c r="G84">
        <v>56</v>
      </c>
      <c r="H84" t="s">
        <v>1079</v>
      </c>
      <c r="I84">
        <v>12</v>
      </c>
      <c r="J84" t="s">
        <v>2</v>
      </c>
      <c r="K84" t="s">
        <v>1080</v>
      </c>
      <c r="L84" t="str">
        <f>IFERROR(IF(VALUE(tblRace2024[[#This Row],[Position]])=1,"Yes","No"),"No")</f>
        <v>No</v>
      </c>
      <c r="M84">
        <v>2024</v>
      </c>
    </row>
    <row r="85" spans="1:13" x14ac:dyDescent="0.45">
      <c r="A85" t="s">
        <v>91</v>
      </c>
      <c r="B85" t="s">
        <v>32</v>
      </c>
      <c r="C85">
        <v>55</v>
      </c>
      <c r="D85" t="s">
        <v>87</v>
      </c>
      <c r="E85" t="s">
        <v>49</v>
      </c>
      <c r="F85">
        <v>7</v>
      </c>
      <c r="G85">
        <v>56</v>
      </c>
      <c r="H85" t="s">
        <v>1081</v>
      </c>
      <c r="I85">
        <v>10</v>
      </c>
      <c r="J85" t="s">
        <v>2</v>
      </c>
      <c r="K85" t="s">
        <v>1082</v>
      </c>
      <c r="L85" t="str">
        <f>IFERROR(IF(VALUE(tblRace2024[[#This Row],[Position]])=1,"Yes","No"),"No")</f>
        <v>No</v>
      </c>
      <c r="M85">
        <v>2024</v>
      </c>
    </row>
    <row r="86" spans="1:13" x14ac:dyDescent="0.45">
      <c r="A86" t="s">
        <v>91</v>
      </c>
      <c r="B86" t="s">
        <v>37</v>
      </c>
      <c r="C86">
        <v>63</v>
      </c>
      <c r="D86" t="s">
        <v>24</v>
      </c>
      <c r="E86" t="s">
        <v>25</v>
      </c>
      <c r="F86">
        <v>8</v>
      </c>
      <c r="G86">
        <v>56</v>
      </c>
      <c r="H86" t="s">
        <v>1083</v>
      </c>
      <c r="I86">
        <v>8</v>
      </c>
      <c r="J86" t="s">
        <v>2</v>
      </c>
      <c r="K86" t="s">
        <v>1084</v>
      </c>
      <c r="L86" t="str">
        <f>IFERROR(IF(VALUE(tblRace2024[[#This Row],[Position]])=1,"Yes","No"),"No")</f>
        <v>No</v>
      </c>
      <c r="M86">
        <v>2024</v>
      </c>
    </row>
    <row r="87" spans="1:13" x14ac:dyDescent="0.45">
      <c r="A87" t="s">
        <v>91</v>
      </c>
      <c r="B87" t="s">
        <v>42</v>
      </c>
      <c r="C87">
        <v>14</v>
      </c>
      <c r="D87" t="s">
        <v>85</v>
      </c>
      <c r="E87" t="s">
        <v>39</v>
      </c>
      <c r="F87">
        <v>3</v>
      </c>
      <c r="G87">
        <v>56</v>
      </c>
      <c r="H87" t="s">
        <v>1085</v>
      </c>
      <c r="I87">
        <v>7</v>
      </c>
      <c r="J87" t="s">
        <v>16</v>
      </c>
      <c r="K87" t="s">
        <v>1086</v>
      </c>
      <c r="L87" t="str">
        <f>IFERROR(IF(VALUE(tblRace2024[[#This Row],[Position]])=1,"Yes","No"),"No")</f>
        <v>No</v>
      </c>
      <c r="M87">
        <v>2024</v>
      </c>
    </row>
    <row r="88" spans="1:13" x14ac:dyDescent="0.45">
      <c r="A88" t="s">
        <v>91</v>
      </c>
      <c r="B88" t="s">
        <v>47</v>
      </c>
      <c r="C88">
        <v>81</v>
      </c>
      <c r="D88" t="s">
        <v>53</v>
      </c>
      <c r="E88" t="s">
        <v>14</v>
      </c>
      <c r="F88">
        <v>5</v>
      </c>
      <c r="G88">
        <v>56</v>
      </c>
      <c r="H88" t="s">
        <v>1087</v>
      </c>
      <c r="I88">
        <v>4</v>
      </c>
      <c r="J88" t="s">
        <v>2</v>
      </c>
      <c r="K88" t="s">
        <v>1088</v>
      </c>
      <c r="L88" t="str">
        <f>IFERROR(IF(VALUE(tblRace2024[[#This Row],[Position]])=1,"Yes","No"),"No")</f>
        <v>No</v>
      </c>
      <c r="M88">
        <v>2024</v>
      </c>
    </row>
    <row r="89" spans="1:13" x14ac:dyDescent="0.45">
      <c r="A89" t="s">
        <v>91</v>
      </c>
      <c r="B89" t="s">
        <v>52</v>
      </c>
      <c r="C89">
        <v>44</v>
      </c>
      <c r="D89" t="s">
        <v>57</v>
      </c>
      <c r="E89" t="s">
        <v>25</v>
      </c>
      <c r="F89">
        <v>18</v>
      </c>
      <c r="G89">
        <v>56</v>
      </c>
      <c r="H89" t="s">
        <v>1089</v>
      </c>
      <c r="I89">
        <v>2</v>
      </c>
      <c r="J89" t="s">
        <v>2</v>
      </c>
      <c r="K89" t="s">
        <v>1090</v>
      </c>
      <c r="L89" t="str">
        <f>IFERROR(IF(VALUE(tblRace2024[[#This Row],[Position]])=1,"Yes","No"),"No")</f>
        <v>No</v>
      </c>
      <c r="M89">
        <v>2024</v>
      </c>
    </row>
    <row r="90" spans="1:13" x14ac:dyDescent="0.45">
      <c r="A90" t="s">
        <v>91</v>
      </c>
      <c r="B90" t="s">
        <v>56</v>
      </c>
      <c r="C90">
        <v>27</v>
      </c>
      <c r="D90" t="s">
        <v>43</v>
      </c>
      <c r="E90" t="s">
        <v>72</v>
      </c>
      <c r="F90">
        <v>9</v>
      </c>
      <c r="G90">
        <v>56</v>
      </c>
      <c r="H90" t="s">
        <v>1091</v>
      </c>
      <c r="I90">
        <v>1</v>
      </c>
      <c r="J90" t="s">
        <v>2</v>
      </c>
      <c r="K90" t="s">
        <v>1092</v>
      </c>
      <c r="L90" t="str">
        <f>IFERROR(IF(VALUE(tblRace2024[[#This Row],[Position]])=1,"Yes","No"),"No")</f>
        <v>No</v>
      </c>
      <c r="M90">
        <v>2024</v>
      </c>
    </row>
    <row r="91" spans="1:13" x14ac:dyDescent="0.45">
      <c r="A91" t="s">
        <v>91</v>
      </c>
      <c r="B91" t="s">
        <v>60</v>
      </c>
      <c r="C91">
        <v>31</v>
      </c>
      <c r="D91" t="s">
        <v>71</v>
      </c>
      <c r="E91" t="s">
        <v>62</v>
      </c>
      <c r="F91">
        <v>13</v>
      </c>
      <c r="G91">
        <v>56</v>
      </c>
      <c r="H91" t="s">
        <v>1093</v>
      </c>
      <c r="I91">
        <v>0</v>
      </c>
      <c r="J91" t="s">
        <v>2</v>
      </c>
      <c r="K91" t="s">
        <v>1094</v>
      </c>
      <c r="L91" t="str">
        <f>IFERROR(IF(VALUE(tblRace2024[[#This Row],[Position]])=1,"Yes","No"),"No")</f>
        <v>No</v>
      </c>
      <c r="M91">
        <v>2024</v>
      </c>
    </row>
    <row r="92" spans="1:13" x14ac:dyDescent="0.45">
      <c r="A92" t="s">
        <v>91</v>
      </c>
      <c r="B92" t="s">
        <v>65</v>
      </c>
      <c r="C92">
        <v>23</v>
      </c>
      <c r="D92" t="s">
        <v>33</v>
      </c>
      <c r="E92" t="s">
        <v>34</v>
      </c>
      <c r="F92">
        <v>14</v>
      </c>
      <c r="G92">
        <v>56</v>
      </c>
      <c r="H92" t="s">
        <v>1095</v>
      </c>
      <c r="I92">
        <v>0</v>
      </c>
      <c r="J92" t="s">
        <v>2</v>
      </c>
      <c r="K92" t="s">
        <v>1096</v>
      </c>
      <c r="L92" t="str">
        <f>IFERROR(IF(VALUE(tblRace2024[[#This Row],[Position]])=1,"Yes","No"),"No")</f>
        <v>No</v>
      </c>
      <c r="M92">
        <v>2024</v>
      </c>
    </row>
    <row r="93" spans="1:13" x14ac:dyDescent="0.45">
      <c r="A93" t="s">
        <v>91</v>
      </c>
      <c r="B93" t="s">
        <v>70</v>
      </c>
      <c r="C93">
        <v>10</v>
      </c>
      <c r="D93" t="s">
        <v>61</v>
      </c>
      <c r="E93" t="s">
        <v>62</v>
      </c>
      <c r="F93">
        <v>15</v>
      </c>
      <c r="G93">
        <v>56</v>
      </c>
      <c r="H93" t="s">
        <v>1097</v>
      </c>
      <c r="I93">
        <v>0</v>
      </c>
      <c r="J93" t="s">
        <v>2</v>
      </c>
      <c r="K93" t="s">
        <v>1098</v>
      </c>
      <c r="L93" t="str">
        <f>IFERROR(IF(VALUE(tblRace2024[[#This Row],[Position]])=1,"Yes","No"),"No")</f>
        <v>No</v>
      </c>
      <c r="M93">
        <v>2024</v>
      </c>
    </row>
    <row r="94" spans="1:13" x14ac:dyDescent="0.45">
      <c r="A94" t="s">
        <v>91</v>
      </c>
      <c r="B94" t="s">
        <v>75</v>
      </c>
      <c r="C94">
        <v>24</v>
      </c>
      <c r="D94" t="s">
        <v>974</v>
      </c>
      <c r="E94" t="s">
        <v>44</v>
      </c>
      <c r="F94">
        <v>16</v>
      </c>
      <c r="G94">
        <v>56</v>
      </c>
      <c r="H94" t="s">
        <v>1099</v>
      </c>
      <c r="I94">
        <v>0</v>
      </c>
      <c r="J94" t="s">
        <v>2</v>
      </c>
      <c r="K94" t="s">
        <v>1100</v>
      </c>
      <c r="L94" t="str">
        <f>IFERROR(IF(VALUE(tblRace2024[[#This Row],[Position]])=1,"Yes","No"),"No")</f>
        <v>No</v>
      </c>
      <c r="M94">
        <v>2024</v>
      </c>
    </row>
    <row r="95" spans="1:13" x14ac:dyDescent="0.45">
      <c r="A95" t="s">
        <v>91</v>
      </c>
      <c r="B95" t="s">
        <v>120</v>
      </c>
      <c r="C95">
        <v>18</v>
      </c>
      <c r="D95" t="s">
        <v>38</v>
      </c>
      <c r="E95" t="s">
        <v>39</v>
      </c>
      <c r="F95">
        <v>11</v>
      </c>
      <c r="G95">
        <v>56</v>
      </c>
      <c r="H95" t="s">
        <v>1101</v>
      </c>
      <c r="I95">
        <v>0</v>
      </c>
      <c r="J95" t="s">
        <v>2</v>
      </c>
      <c r="K95" t="s">
        <v>1102</v>
      </c>
      <c r="L95" t="str">
        <f>IFERROR(IF(VALUE(tblRace2024[[#This Row],[Position]])=1,"Yes","No"),"No")</f>
        <v>No</v>
      </c>
      <c r="M95">
        <v>2024</v>
      </c>
    </row>
    <row r="96" spans="1:13" x14ac:dyDescent="0.45">
      <c r="A96" t="s">
        <v>91</v>
      </c>
      <c r="B96" t="s">
        <v>122</v>
      </c>
      <c r="C96">
        <v>20</v>
      </c>
      <c r="D96" t="s">
        <v>976</v>
      </c>
      <c r="E96" t="s">
        <v>72</v>
      </c>
      <c r="F96">
        <v>17</v>
      </c>
      <c r="G96">
        <v>56</v>
      </c>
      <c r="H96" t="s">
        <v>1103</v>
      </c>
      <c r="I96">
        <v>0</v>
      </c>
      <c r="J96" t="s">
        <v>2</v>
      </c>
      <c r="K96" t="s">
        <v>1104</v>
      </c>
      <c r="L96" t="str">
        <f>IFERROR(IF(VALUE(tblRace2024[[#This Row],[Position]])=1,"Yes","No"),"No")</f>
        <v>No</v>
      </c>
      <c r="M96">
        <v>2024</v>
      </c>
    </row>
    <row r="97" spans="1:13" x14ac:dyDescent="0.45">
      <c r="A97" t="s">
        <v>91</v>
      </c>
      <c r="B97" t="s">
        <v>163</v>
      </c>
      <c r="C97">
        <v>2</v>
      </c>
      <c r="D97" t="s">
        <v>988</v>
      </c>
      <c r="E97" t="s">
        <v>34</v>
      </c>
      <c r="F97">
        <v>20</v>
      </c>
      <c r="G97">
        <v>56</v>
      </c>
      <c r="H97" t="s">
        <v>1105</v>
      </c>
      <c r="I97">
        <v>0</v>
      </c>
      <c r="J97" t="s">
        <v>2</v>
      </c>
      <c r="K97" t="s">
        <v>1106</v>
      </c>
      <c r="L97" t="str">
        <f>IFERROR(IF(VALUE(tblRace2024[[#This Row],[Position]])=1,"Yes","No"),"No")</f>
        <v>No</v>
      </c>
      <c r="M97">
        <v>2024</v>
      </c>
    </row>
    <row r="98" spans="1:13" x14ac:dyDescent="0.45">
      <c r="A98" t="s">
        <v>91</v>
      </c>
      <c r="B98" t="s">
        <v>79</v>
      </c>
      <c r="C98">
        <v>3</v>
      </c>
      <c r="D98" t="s">
        <v>978</v>
      </c>
      <c r="E98" t="s">
        <v>979</v>
      </c>
      <c r="F98">
        <v>12</v>
      </c>
      <c r="G98">
        <v>33</v>
      </c>
      <c r="H98" t="s">
        <v>81</v>
      </c>
      <c r="I98">
        <v>0</v>
      </c>
      <c r="J98" t="s">
        <v>2</v>
      </c>
      <c r="K98" t="s">
        <v>1107</v>
      </c>
      <c r="L98" t="str">
        <f>IFERROR(IF(VALUE(tblRace2024[[#This Row],[Position]])=1,"Yes","No"),"No")</f>
        <v>No</v>
      </c>
      <c r="M98">
        <v>2024</v>
      </c>
    </row>
    <row r="99" spans="1:13" x14ac:dyDescent="0.45">
      <c r="A99" t="s">
        <v>91</v>
      </c>
      <c r="B99" t="s">
        <v>79</v>
      </c>
      <c r="C99">
        <v>22</v>
      </c>
      <c r="D99" t="s">
        <v>66</v>
      </c>
      <c r="E99" t="s">
        <v>979</v>
      </c>
      <c r="F99">
        <v>19</v>
      </c>
      <c r="G99">
        <v>26</v>
      </c>
      <c r="H99" t="s">
        <v>81</v>
      </c>
      <c r="I99">
        <v>0</v>
      </c>
      <c r="J99" t="s">
        <v>2</v>
      </c>
      <c r="K99" t="s">
        <v>1108</v>
      </c>
      <c r="L99" t="str">
        <f>IFERROR(IF(VALUE(tblRace2024[[#This Row],[Position]])=1,"Yes","No"),"No")</f>
        <v>No</v>
      </c>
      <c r="M99">
        <v>2024</v>
      </c>
    </row>
    <row r="100" spans="1:13" x14ac:dyDescent="0.45">
      <c r="A100" t="s">
        <v>91</v>
      </c>
      <c r="B100" t="s">
        <v>79</v>
      </c>
      <c r="C100">
        <v>77</v>
      </c>
      <c r="D100" t="s">
        <v>986</v>
      </c>
      <c r="E100" t="s">
        <v>44</v>
      </c>
      <c r="F100">
        <v>10</v>
      </c>
      <c r="G100">
        <v>19</v>
      </c>
      <c r="H100" t="s">
        <v>81</v>
      </c>
      <c r="I100">
        <v>0</v>
      </c>
      <c r="J100" t="s">
        <v>2</v>
      </c>
      <c r="K100" t="s">
        <v>1109</v>
      </c>
      <c r="L100" t="str">
        <f>IFERROR(IF(VALUE(tblRace2024[[#This Row],[Position]])=1,"Yes","No"),"No")</f>
        <v>No</v>
      </c>
      <c r="M100">
        <v>2024</v>
      </c>
    </row>
    <row r="101" spans="1:13" x14ac:dyDescent="0.45">
      <c r="A101" t="s">
        <v>246</v>
      </c>
      <c r="B101" t="s">
        <v>12</v>
      </c>
      <c r="C101">
        <v>4</v>
      </c>
      <c r="D101" t="s">
        <v>13</v>
      </c>
      <c r="E101" t="s">
        <v>14</v>
      </c>
      <c r="F101">
        <v>5</v>
      </c>
      <c r="G101">
        <v>57</v>
      </c>
      <c r="H101" t="s">
        <v>1110</v>
      </c>
      <c r="I101">
        <v>25</v>
      </c>
      <c r="J101" t="s">
        <v>2</v>
      </c>
      <c r="K101" t="s">
        <v>1111</v>
      </c>
      <c r="L101" t="str">
        <f>IFERROR(IF(VALUE(tblRace2024[[#This Row],[Position]])=1,"Yes","No"),"No")</f>
        <v>Yes</v>
      </c>
      <c r="M101">
        <v>2024</v>
      </c>
    </row>
    <row r="102" spans="1:13" x14ac:dyDescent="0.45">
      <c r="A102" t="s">
        <v>246</v>
      </c>
      <c r="B102" t="s">
        <v>18</v>
      </c>
      <c r="C102">
        <v>1</v>
      </c>
      <c r="D102" t="s">
        <v>19</v>
      </c>
      <c r="E102" t="s">
        <v>20</v>
      </c>
      <c r="F102">
        <v>1</v>
      </c>
      <c r="G102">
        <v>57</v>
      </c>
      <c r="H102" t="s">
        <v>1112</v>
      </c>
      <c r="I102">
        <v>18</v>
      </c>
      <c r="J102" t="s">
        <v>2</v>
      </c>
      <c r="K102" t="s">
        <v>1113</v>
      </c>
      <c r="L102" t="str">
        <f>IFERROR(IF(VALUE(tblRace2024[[#This Row],[Position]])=1,"Yes","No"),"No")</f>
        <v>No</v>
      </c>
      <c r="M102">
        <v>2024</v>
      </c>
    </row>
    <row r="103" spans="1:13" x14ac:dyDescent="0.45">
      <c r="A103" t="s">
        <v>246</v>
      </c>
      <c r="B103" t="s">
        <v>23</v>
      </c>
      <c r="C103">
        <v>16</v>
      </c>
      <c r="D103" t="s">
        <v>48</v>
      </c>
      <c r="E103" t="s">
        <v>49</v>
      </c>
      <c r="F103">
        <v>2</v>
      </c>
      <c r="G103">
        <v>57</v>
      </c>
      <c r="H103" t="s">
        <v>1114</v>
      </c>
      <c r="I103">
        <v>15</v>
      </c>
      <c r="J103" t="s">
        <v>2</v>
      </c>
      <c r="K103" t="s">
        <v>1115</v>
      </c>
      <c r="L103" t="str">
        <f>IFERROR(IF(VALUE(tblRace2024[[#This Row],[Position]])=1,"Yes","No"),"No")</f>
        <v>No</v>
      </c>
      <c r="M103">
        <v>2024</v>
      </c>
    </row>
    <row r="104" spans="1:13" x14ac:dyDescent="0.45">
      <c r="A104" t="s">
        <v>246</v>
      </c>
      <c r="B104" t="s">
        <v>28</v>
      </c>
      <c r="C104">
        <v>11</v>
      </c>
      <c r="D104" t="s">
        <v>955</v>
      </c>
      <c r="E104" t="s">
        <v>20</v>
      </c>
      <c r="F104">
        <v>4</v>
      </c>
      <c r="G104">
        <v>57</v>
      </c>
      <c r="H104" t="s">
        <v>1116</v>
      </c>
      <c r="I104">
        <v>12</v>
      </c>
      <c r="J104" t="s">
        <v>2</v>
      </c>
      <c r="K104" t="s">
        <v>1117</v>
      </c>
      <c r="L104" t="str">
        <f>IFERROR(IF(VALUE(tblRace2024[[#This Row],[Position]])=1,"Yes","No"),"No")</f>
        <v>No</v>
      </c>
      <c r="M104">
        <v>2024</v>
      </c>
    </row>
    <row r="105" spans="1:13" x14ac:dyDescent="0.45">
      <c r="A105" t="s">
        <v>246</v>
      </c>
      <c r="B105" t="s">
        <v>32</v>
      </c>
      <c r="C105">
        <v>55</v>
      </c>
      <c r="D105" t="s">
        <v>87</v>
      </c>
      <c r="E105" t="s">
        <v>49</v>
      </c>
      <c r="F105">
        <v>3</v>
      </c>
      <c r="G105">
        <v>57</v>
      </c>
      <c r="H105" t="s">
        <v>1118</v>
      </c>
      <c r="I105">
        <v>10</v>
      </c>
      <c r="J105" t="s">
        <v>2</v>
      </c>
      <c r="K105" t="s">
        <v>1119</v>
      </c>
      <c r="L105" t="str">
        <f>IFERROR(IF(VALUE(tblRace2024[[#This Row],[Position]])=1,"Yes","No"),"No")</f>
        <v>No</v>
      </c>
      <c r="M105">
        <v>2024</v>
      </c>
    </row>
    <row r="106" spans="1:13" x14ac:dyDescent="0.45">
      <c r="A106" t="s">
        <v>246</v>
      </c>
      <c r="B106" t="s">
        <v>37</v>
      </c>
      <c r="C106">
        <v>44</v>
      </c>
      <c r="D106" t="s">
        <v>57</v>
      </c>
      <c r="E106" t="s">
        <v>25</v>
      </c>
      <c r="F106">
        <v>8</v>
      </c>
      <c r="G106">
        <v>57</v>
      </c>
      <c r="H106" t="s">
        <v>1120</v>
      </c>
      <c r="I106">
        <v>8</v>
      </c>
      <c r="J106" t="s">
        <v>2</v>
      </c>
      <c r="K106" t="s">
        <v>1121</v>
      </c>
      <c r="L106" t="str">
        <f>IFERROR(IF(VALUE(tblRace2024[[#This Row],[Position]])=1,"Yes","No"),"No")</f>
        <v>No</v>
      </c>
      <c r="M106">
        <v>2024</v>
      </c>
    </row>
    <row r="107" spans="1:13" x14ac:dyDescent="0.45">
      <c r="A107" t="s">
        <v>246</v>
      </c>
      <c r="B107" t="s">
        <v>42</v>
      </c>
      <c r="C107">
        <v>22</v>
      </c>
      <c r="D107" t="s">
        <v>66</v>
      </c>
      <c r="E107" t="s">
        <v>979</v>
      </c>
      <c r="F107">
        <v>10</v>
      </c>
      <c r="G107">
        <v>57</v>
      </c>
      <c r="H107" t="s">
        <v>1122</v>
      </c>
      <c r="I107">
        <v>6</v>
      </c>
      <c r="J107" t="s">
        <v>2</v>
      </c>
      <c r="K107" t="s">
        <v>1123</v>
      </c>
      <c r="L107" t="str">
        <f>IFERROR(IF(VALUE(tblRace2024[[#This Row],[Position]])=1,"Yes","No"),"No")</f>
        <v>No</v>
      </c>
      <c r="M107">
        <v>2024</v>
      </c>
    </row>
    <row r="108" spans="1:13" x14ac:dyDescent="0.45">
      <c r="A108" t="s">
        <v>246</v>
      </c>
      <c r="B108" t="s">
        <v>47</v>
      </c>
      <c r="C108">
        <v>63</v>
      </c>
      <c r="D108" t="s">
        <v>24</v>
      </c>
      <c r="E108" t="s">
        <v>25</v>
      </c>
      <c r="F108">
        <v>7</v>
      </c>
      <c r="G108">
        <v>57</v>
      </c>
      <c r="H108" t="s">
        <v>1124</v>
      </c>
      <c r="I108">
        <v>4</v>
      </c>
      <c r="J108" t="s">
        <v>2</v>
      </c>
      <c r="K108" t="s">
        <v>462</v>
      </c>
      <c r="L108" t="str">
        <f>IFERROR(IF(VALUE(tblRace2024[[#This Row],[Position]])=1,"Yes","No"),"No")</f>
        <v>No</v>
      </c>
      <c r="M108">
        <v>2024</v>
      </c>
    </row>
    <row r="109" spans="1:13" x14ac:dyDescent="0.45">
      <c r="A109" t="s">
        <v>246</v>
      </c>
      <c r="B109" t="s">
        <v>52</v>
      </c>
      <c r="C109">
        <v>14</v>
      </c>
      <c r="D109" t="s">
        <v>85</v>
      </c>
      <c r="E109" t="s">
        <v>39</v>
      </c>
      <c r="F109">
        <v>15</v>
      </c>
      <c r="G109">
        <v>57</v>
      </c>
      <c r="H109" t="s">
        <v>1125</v>
      </c>
      <c r="I109">
        <v>2</v>
      </c>
      <c r="J109" t="s">
        <v>2</v>
      </c>
      <c r="K109" t="s">
        <v>1126</v>
      </c>
      <c r="L109" t="str">
        <f>IFERROR(IF(VALUE(tblRace2024[[#This Row],[Position]])=1,"Yes","No"),"No")</f>
        <v>No</v>
      </c>
      <c r="M109">
        <v>2024</v>
      </c>
    </row>
    <row r="110" spans="1:13" x14ac:dyDescent="0.45">
      <c r="A110" t="s">
        <v>246</v>
      </c>
      <c r="B110" t="s">
        <v>56</v>
      </c>
      <c r="C110">
        <v>31</v>
      </c>
      <c r="D110" t="s">
        <v>71</v>
      </c>
      <c r="E110" t="s">
        <v>62</v>
      </c>
      <c r="F110">
        <v>13</v>
      </c>
      <c r="G110">
        <v>57</v>
      </c>
      <c r="H110" t="s">
        <v>1127</v>
      </c>
      <c r="I110">
        <v>1</v>
      </c>
      <c r="J110" t="s">
        <v>2</v>
      </c>
      <c r="K110" t="s">
        <v>1128</v>
      </c>
      <c r="L110" t="str">
        <f>IFERROR(IF(VALUE(tblRace2024[[#This Row],[Position]])=1,"Yes","No"),"No")</f>
        <v>No</v>
      </c>
      <c r="M110">
        <v>2024</v>
      </c>
    </row>
    <row r="111" spans="1:13" x14ac:dyDescent="0.45">
      <c r="A111" t="s">
        <v>246</v>
      </c>
      <c r="B111" t="s">
        <v>60</v>
      </c>
      <c r="C111">
        <v>27</v>
      </c>
      <c r="D111" t="s">
        <v>43</v>
      </c>
      <c r="E111" t="s">
        <v>72</v>
      </c>
      <c r="F111">
        <v>9</v>
      </c>
      <c r="G111">
        <v>57</v>
      </c>
      <c r="H111" t="s">
        <v>1129</v>
      </c>
      <c r="I111">
        <v>0</v>
      </c>
      <c r="J111" t="s">
        <v>2</v>
      </c>
      <c r="K111" t="s">
        <v>1130</v>
      </c>
      <c r="L111" t="str">
        <f>IFERROR(IF(VALUE(tblRace2024[[#This Row],[Position]])=1,"Yes","No"),"No")</f>
        <v>No</v>
      </c>
      <c r="M111">
        <v>2024</v>
      </c>
    </row>
    <row r="112" spans="1:13" x14ac:dyDescent="0.45">
      <c r="A112" t="s">
        <v>246</v>
      </c>
      <c r="B112" t="s">
        <v>65</v>
      </c>
      <c r="C112">
        <v>10</v>
      </c>
      <c r="D112" t="s">
        <v>61</v>
      </c>
      <c r="E112" t="s">
        <v>62</v>
      </c>
      <c r="F112">
        <v>12</v>
      </c>
      <c r="G112">
        <v>57</v>
      </c>
      <c r="H112" t="s">
        <v>1131</v>
      </c>
      <c r="I112">
        <v>0</v>
      </c>
      <c r="J112" t="s">
        <v>2</v>
      </c>
      <c r="K112" t="s">
        <v>1132</v>
      </c>
      <c r="L112" t="str">
        <f>IFERROR(IF(VALUE(tblRace2024[[#This Row],[Position]])=1,"Yes","No"),"No")</f>
        <v>No</v>
      </c>
      <c r="M112">
        <v>2024</v>
      </c>
    </row>
    <row r="113" spans="1:13" x14ac:dyDescent="0.45">
      <c r="A113" t="s">
        <v>246</v>
      </c>
      <c r="B113" t="s">
        <v>70</v>
      </c>
      <c r="C113">
        <v>81</v>
      </c>
      <c r="D113" t="s">
        <v>53</v>
      </c>
      <c r="E113" t="s">
        <v>14</v>
      </c>
      <c r="F113">
        <v>6</v>
      </c>
      <c r="G113">
        <v>57</v>
      </c>
      <c r="H113" t="s">
        <v>1133</v>
      </c>
      <c r="I113">
        <v>0</v>
      </c>
      <c r="J113" t="s">
        <v>16</v>
      </c>
      <c r="K113" t="s">
        <v>1134</v>
      </c>
      <c r="L113" t="str">
        <f>IFERROR(IF(VALUE(tblRace2024[[#This Row],[Position]])=1,"Yes","No"),"No")</f>
        <v>No</v>
      </c>
      <c r="M113">
        <v>2024</v>
      </c>
    </row>
    <row r="114" spans="1:13" x14ac:dyDescent="0.45">
      <c r="A114" t="s">
        <v>246</v>
      </c>
      <c r="B114" t="s">
        <v>75</v>
      </c>
      <c r="C114">
        <v>24</v>
      </c>
      <c r="D114" t="s">
        <v>974</v>
      </c>
      <c r="E114" t="s">
        <v>44</v>
      </c>
      <c r="F114">
        <v>19</v>
      </c>
      <c r="G114">
        <v>57</v>
      </c>
      <c r="H114" t="s">
        <v>1135</v>
      </c>
      <c r="I114">
        <v>0</v>
      </c>
      <c r="J114" t="s">
        <v>2</v>
      </c>
      <c r="K114" t="s">
        <v>1136</v>
      </c>
      <c r="L114" t="str">
        <f>IFERROR(IF(VALUE(tblRace2024[[#This Row],[Position]])=1,"Yes","No"),"No")</f>
        <v>No</v>
      </c>
      <c r="M114">
        <v>2024</v>
      </c>
    </row>
    <row r="115" spans="1:13" x14ac:dyDescent="0.45">
      <c r="A115" t="s">
        <v>246</v>
      </c>
      <c r="B115" t="s">
        <v>120</v>
      </c>
      <c r="C115">
        <v>3</v>
      </c>
      <c r="D115" t="s">
        <v>978</v>
      </c>
      <c r="E115" t="s">
        <v>979</v>
      </c>
      <c r="F115">
        <v>20</v>
      </c>
      <c r="G115">
        <v>57</v>
      </c>
      <c r="H115" t="s">
        <v>1137</v>
      </c>
      <c r="I115">
        <v>0</v>
      </c>
      <c r="J115" t="s">
        <v>2</v>
      </c>
      <c r="K115" t="s">
        <v>1138</v>
      </c>
      <c r="L115" t="str">
        <f>IFERROR(IF(VALUE(tblRace2024[[#This Row],[Position]])=1,"Yes","No"),"No")</f>
        <v>No</v>
      </c>
      <c r="M115">
        <v>2024</v>
      </c>
    </row>
    <row r="116" spans="1:13" x14ac:dyDescent="0.45">
      <c r="A116" t="s">
        <v>246</v>
      </c>
      <c r="B116" t="s">
        <v>122</v>
      </c>
      <c r="C116">
        <v>77</v>
      </c>
      <c r="D116" t="s">
        <v>986</v>
      </c>
      <c r="E116" t="s">
        <v>44</v>
      </c>
      <c r="F116">
        <v>16</v>
      </c>
      <c r="G116">
        <v>57</v>
      </c>
      <c r="H116" t="s">
        <v>1139</v>
      </c>
      <c r="I116">
        <v>0</v>
      </c>
      <c r="J116" t="s">
        <v>2</v>
      </c>
      <c r="K116" t="s">
        <v>1140</v>
      </c>
      <c r="L116" t="str">
        <f>IFERROR(IF(VALUE(tblRace2024[[#This Row],[Position]])=1,"Yes","No"),"No")</f>
        <v>No</v>
      </c>
      <c r="M116">
        <v>2024</v>
      </c>
    </row>
    <row r="117" spans="1:13" x14ac:dyDescent="0.45">
      <c r="A117" t="s">
        <v>246</v>
      </c>
      <c r="B117" t="s">
        <v>163</v>
      </c>
      <c r="C117">
        <v>18</v>
      </c>
      <c r="D117" t="s">
        <v>38</v>
      </c>
      <c r="E117" t="s">
        <v>39</v>
      </c>
      <c r="F117">
        <v>11</v>
      </c>
      <c r="G117">
        <v>57</v>
      </c>
      <c r="H117" t="s">
        <v>1141</v>
      </c>
      <c r="I117">
        <v>0</v>
      </c>
      <c r="J117" t="s">
        <v>2</v>
      </c>
      <c r="K117" t="s">
        <v>1142</v>
      </c>
      <c r="L117" t="str">
        <f>IFERROR(IF(VALUE(tblRace2024[[#This Row],[Position]])=1,"Yes","No"),"No")</f>
        <v>No</v>
      </c>
      <c r="M117">
        <v>2024</v>
      </c>
    </row>
    <row r="118" spans="1:13" x14ac:dyDescent="0.45">
      <c r="A118" t="s">
        <v>246</v>
      </c>
      <c r="B118" t="s">
        <v>166</v>
      </c>
      <c r="C118">
        <v>23</v>
      </c>
      <c r="D118" t="s">
        <v>33</v>
      </c>
      <c r="E118" t="s">
        <v>34</v>
      </c>
      <c r="F118">
        <v>14</v>
      </c>
      <c r="G118">
        <v>57</v>
      </c>
      <c r="H118" t="s">
        <v>1143</v>
      </c>
      <c r="I118">
        <v>0</v>
      </c>
      <c r="J118" t="s">
        <v>2</v>
      </c>
      <c r="K118" t="s">
        <v>1144</v>
      </c>
      <c r="L118" t="str">
        <f>IFERROR(IF(VALUE(tblRace2024[[#This Row],[Position]])=1,"Yes","No"),"No")</f>
        <v>No</v>
      </c>
      <c r="M118">
        <v>2024</v>
      </c>
    </row>
    <row r="119" spans="1:13" x14ac:dyDescent="0.45">
      <c r="A119" t="s">
        <v>246</v>
      </c>
      <c r="B119" t="s">
        <v>169</v>
      </c>
      <c r="C119">
        <v>20</v>
      </c>
      <c r="D119" t="s">
        <v>976</v>
      </c>
      <c r="E119" t="s">
        <v>72</v>
      </c>
      <c r="F119">
        <v>18</v>
      </c>
      <c r="G119">
        <v>57</v>
      </c>
      <c r="H119" t="s">
        <v>1145</v>
      </c>
      <c r="I119">
        <v>0</v>
      </c>
      <c r="J119" t="s">
        <v>2</v>
      </c>
      <c r="K119" t="s">
        <v>1146</v>
      </c>
      <c r="L119" t="str">
        <f>IFERROR(IF(VALUE(tblRace2024[[#This Row],[Position]])=1,"Yes","No"),"No")</f>
        <v>No</v>
      </c>
      <c r="M119">
        <v>2024</v>
      </c>
    </row>
    <row r="120" spans="1:13" x14ac:dyDescent="0.45">
      <c r="A120" t="s">
        <v>246</v>
      </c>
      <c r="B120" t="s">
        <v>79</v>
      </c>
      <c r="C120">
        <v>2</v>
      </c>
      <c r="D120" t="s">
        <v>988</v>
      </c>
      <c r="E120" t="s">
        <v>34</v>
      </c>
      <c r="F120">
        <v>17</v>
      </c>
      <c r="G120">
        <v>27</v>
      </c>
      <c r="H120" t="s">
        <v>81</v>
      </c>
      <c r="I120">
        <v>0</v>
      </c>
      <c r="J120" t="s">
        <v>2</v>
      </c>
      <c r="K120" t="s">
        <v>1147</v>
      </c>
      <c r="L120" t="str">
        <f>IFERROR(IF(VALUE(tblRace2024[[#This Row],[Position]])=1,"Yes","No"),"No")</f>
        <v>No</v>
      </c>
      <c r="M120">
        <v>2024</v>
      </c>
    </row>
    <row r="121" spans="1:13" x14ac:dyDescent="0.45">
      <c r="A121" t="s">
        <v>1148</v>
      </c>
      <c r="B121" t="s">
        <v>12</v>
      </c>
      <c r="C121">
        <v>1</v>
      </c>
      <c r="D121" t="s">
        <v>19</v>
      </c>
      <c r="E121" t="s">
        <v>20</v>
      </c>
      <c r="F121">
        <v>1</v>
      </c>
      <c r="G121">
        <v>63</v>
      </c>
      <c r="H121" t="s">
        <v>1149</v>
      </c>
      <c r="I121">
        <v>25</v>
      </c>
      <c r="J121" t="s">
        <v>2</v>
      </c>
      <c r="K121" t="s">
        <v>1150</v>
      </c>
      <c r="L121" t="str">
        <f>IFERROR(IF(VALUE(tblRace2024[[#This Row],[Position]])=1,"Yes","No"),"No")</f>
        <v>Yes</v>
      </c>
      <c r="M121">
        <v>2024</v>
      </c>
    </row>
    <row r="122" spans="1:13" x14ac:dyDescent="0.45">
      <c r="A122" t="s">
        <v>1148</v>
      </c>
      <c r="B122" t="s">
        <v>18</v>
      </c>
      <c r="C122">
        <v>4</v>
      </c>
      <c r="D122" t="s">
        <v>13</v>
      </c>
      <c r="E122" t="s">
        <v>14</v>
      </c>
      <c r="F122">
        <v>2</v>
      </c>
      <c r="G122">
        <v>63</v>
      </c>
      <c r="H122" t="s">
        <v>1151</v>
      </c>
      <c r="I122">
        <v>18</v>
      </c>
      <c r="J122" t="s">
        <v>2</v>
      </c>
      <c r="K122" t="s">
        <v>1152</v>
      </c>
      <c r="L122" t="str">
        <f>IFERROR(IF(VALUE(tblRace2024[[#This Row],[Position]])=1,"Yes","No"),"No")</f>
        <v>No</v>
      </c>
      <c r="M122">
        <v>2024</v>
      </c>
    </row>
    <row r="123" spans="1:13" x14ac:dyDescent="0.45">
      <c r="A123" t="s">
        <v>1148</v>
      </c>
      <c r="B123" t="s">
        <v>23</v>
      </c>
      <c r="C123">
        <v>16</v>
      </c>
      <c r="D123" t="s">
        <v>48</v>
      </c>
      <c r="E123" t="s">
        <v>49</v>
      </c>
      <c r="F123">
        <v>3</v>
      </c>
      <c r="G123">
        <v>63</v>
      </c>
      <c r="H123" t="s">
        <v>1153</v>
      </c>
      <c r="I123">
        <v>15</v>
      </c>
      <c r="J123" t="s">
        <v>2</v>
      </c>
      <c r="K123" t="s">
        <v>1154</v>
      </c>
      <c r="L123" t="str">
        <f>IFERROR(IF(VALUE(tblRace2024[[#This Row],[Position]])=1,"Yes","No"),"No")</f>
        <v>No</v>
      </c>
      <c r="M123">
        <v>2024</v>
      </c>
    </row>
    <row r="124" spans="1:13" x14ac:dyDescent="0.45">
      <c r="A124" t="s">
        <v>1148</v>
      </c>
      <c r="B124" t="s">
        <v>28</v>
      </c>
      <c r="C124">
        <v>81</v>
      </c>
      <c r="D124" t="s">
        <v>53</v>
      </c>
      <c r="E124" t="s">
        <v>14</v>
      </c>
      <c r="F124">
        <v>5</v>
      </c>
      <c r="G124">
        <v>63</v>
      </c>
      <c r="H124" t="s">
        <v>1155</v>
      </c>
      <c r="I124">
        <v>12</v>
      </c>
      <c r="J124" t="s">
        <v>2</v>
      </c>
      <c r="K124" t="s">
        <v>1156</v>
      </c>
      <c r="L124" t="str">
        <f>IFERROR(IF(VALUE(tblRace2024[[#This Row],[Position]])=1,"Yes","No"),"No")</f>
        <v>No</v>
      </c>
      <c r="M124">
        <v>2024</v>
      </c>
    </row>
    <row r="125" spans="1:13" x14ac:dyDescent="0.45">
      <c r="A125" t="s">
        <v>1148</v>
      </c>
      <c r="B125" t="s">
        <v>32</v>
      </c>
      <c r="C125">
        <v>55</v>
      </c>
      <c r="D125" t="s">
        <v>87</v>
      </c>
      <c r="E125" t="s">
        <v>49</v>
      </c>
      <c r="F125">
        <v>4</v>
      </c>
      <c r="G125">
        <v>63</v>
      </c>
      <c r="H125" t="s">
        <v>1157</v>
      </c>
      <c r="I125">
        <v>10</v>
      </c>
      <c r="J125" t="s">
        <v>2</v>
      </c>
      <c r="K125" t="s">
        <v>1158</v>
      </c>
      <c r="L125" t="str">
        <f>IFERROR(IF(VALUE(tblRace2024[[#This Row],[Position]])=1,"Yes","No"),"No")</f>
        <v>No</v>
      </c>
      <c r="M125">
        <v>2024</v>
      </c>
    </row>
    <row r="126" spans="1:13" x14ac:dyDescent="0.45">
      <c r="A126" t="s">
        <v>1148</v>
      </c>
      <c r="B126" t="s">
        <v>37</v>
      </c>
      <c r="C126">
        <v>44</v>
      </c>
      <c r="D126" t="s">
        <v>57</v>
      </c>
      <c r="E126" t="s">
        <v>25</v>
      </c>
      <c r="F126">
        <v>8</v>
      </c>
      <c r="G126">
        <v>63</v>
      </c>
      <c r="H126" t="s">
        <v>1159</v>
      </c>
      <c r="I126">
        <v>8</v>
      </c>
      <c r="J126" t="s">
        <v>2</v>
      </c>
      <c r="K126" t="s">
        <v>1160</v>
      </c>
      <c r="L126" t="str">
        <f>IFERROR(IF(VALUE(tblRace2024[[#This Row],[Position]])=1,"Yes","No"),"No")</f>
        <v>No</v>
      </c>
      <c r="M126">
        <v>2024</v>
      </c>
    </row>
    <row r="127" spans="1:13" x14ac:dyDescent="0.45">
      <c r="A127" t="s">
        <v>1148</v>
      </c>
      <c r="B127" t="s">
        <v>42</v>
      </c>
      <c r="C127">
        <v>63</v>
      </c>
      <c r="D127" t="s">
        <v>24</v>
      </c>
      <c r="E127" t="s">
        <v>25</v>
      </c>
      <c r="F127">
        <v>6</v>
      </c>
      <c r="G127">
        <v>63</v>
      </c>
      <c r="H127" t="s">
        <v>1161</v>
      </c>
      <c r="I127">
        <v>7</v>
      </c>
      <c r="J127" t="s">
        <v>16</v>
      </c>
      <c r="K127" t="s">
        <v>1162</v>
      </c>
      <c r="L127" t="str">
        <f>IFERROR(IF(VALUE(tblRace2024[[#This Row],[Position]])=1,"Yes","No"),"No")</f>
        <v>No</v>
      </c>
      <c r="M127">
        <v>2024</v>
      </c>
    </row>
    <row r="128" spans="1:13" x14ac:dyDescent="0.45">
      <c r="A128" t="s">
        <v>1148</v>
      </c>
      <c r="B128" t="s">
        <v>47</v>
      </c>
      <c r="C128">
        <v>11</v>
      </c>
      <c r="D128" t="s">
        <v>955</v>
      </c>
      <c r="E128" t="s">
        <v>20</v>
      </c>
      <c r="F128">
        <v>11</v>
      </c>
      <c r="G128">
        <v>63</v>
      </c>
      <c r="H128" t="s">
        <v>1163</v>
      </c>
      <c r="I128">
        <v>4</v>
      </c>
      <c r="J128" t="s">
        <v>2</v>
      </c>
      <c r="K128" t="s">
        <v>1164</v>
      </c>
      <c r="L128" t="str">
        <f>IFERROR(IF(VALUE(tblRace2024[[#This Row],[Position]])=1,"Yes","No"),"No")</f>
        <v>No</v>
      </c>
      <c r="M128">
        <v>2024</v>
      </c>
    </row>
    <row r="129" spans="1:13" x14ac:dyDescent="0.45">
      <c r="A129" t="s">
        <v>1148</v>
      </c>
      <c r="B129" t="s">
        <v>52</v>
      </c>
      <c r="C129">
        <v>18</v>
      </c>
      <c r="D129" t="s">
        <v>38</v>
      </c>
      <c r="E129" t="s">
        <v>39</v>
      </c>
      <c r="F129">
        <v>13</v>
      </c>
      <c r="G129">
        <v>63</v>
      </c>
      <c r="H129" t="s">
        <v>1165</v>
      </c>
      <c r="I129">
        <v>2</v>
      </c>
      <c r="J129" t="s">
        <v>2</v>
      </c>
      <c r="K129" t="s">
        <v>1166</v>
      </c>
      <c r="L129" t="str">
        <f>IFERROR(IF(VALUE(tblRace2024[[#This Row],[Position]])=1,"Yes","No"),"No")</f>
        <v>No</v>
      </c>
      <c r="M129">
        <v>2024</v>
      </c>
    </row>
    <row r="130" spans="1:13" x14ac:dyDescent="0.45">
      <c r="A130" t="s">
        <v>1148</v>
      </c>
      <c r="B130" t="s">
        <v>56</v>
      </c>
      <c r="C130">
        <v>22</v>
      </c>
      <c r="D130" t="s">
        <v>66</v>
      </c>
      <c r="E130" t="s">
        <v>979</v>
      </c>
      <c r="F130">
        <v>7</v>
      </c>
      <c r="G130">
        <v>62</v>
      </c>
      <c r="H130" t="s">
        <v>118</v>
      </c>
      <c r="I130">
        <v>1</v>
      </c>
      <c r="J130" t="s">
        <v>2</v>
      </c>
      <c r="K130" t="s">
        <v>1167</v>
      </c>
      <c r="L130" t="str">
        <f>IFERROR(IF(VALUE(tblRace2024[[#This Row],[Position]])=1,"Yes","No"),"No")</f>
        <v>No</v>
      </c>
      <c r="M130">
        <v>2024</v>
      </c>
    </row>
    <row r="131" spans="1:13" x14ac:dyDescent="0.45">
      <c r="A131" t="s">
        <v>1148</v>
      </c>
      <c r="B131" t="s">
        <v>60</v>
      </c>
      <c r="C131">
        <v>27</v>
      </c>
      <c r="D131" t="s">
        <v>43</v>
      </c>
      <c r="E131" t="s">
        <v>72</v>
      </c>
      <c r="F131">
        <v>10</v>
      </c>
      <c r="G131">
        <v>62</v>
      </c>
      <c r="H131" t="s">
        <v>118</v>
      </c>
      <c r="I131">
        <v>0</v>
      </c>
      <c r="J131" t="s">
        <v>2</v>
      </c>
      <c r="K131" t="s">
        <v>1168</v>
      </c>
      <c r="L131" t="str">
        <f>IFERROR(IF(VALUE(tblRace2024[[#This Row],[Position]])=1,"Yes","No"),"No")</f>
        <v>No</v>
      </c>
      <c r="M131">
        <v>2024</v>
      </c>
    </row>
    <row r="132" spans="1:13" x14ac:dyDescent="0.45">
      <c r="A132" t="s">
        <v>1148</v>
      </c>
      <c r="B132" t="s">
        <v>65</v>
      </c>
      <c r="C132">
        <v>20</v>
      </c>
      <c r="D132" t="s">
        <v>976</v>
      </c>
      <c r="E132" t="s">
        <v>72</v>
      </c>
      <c r="F132">
        <v>18</v>
      </c>
      <c r="G132">
        <v>62</v>
      </c>
      <c r="H132" t="s">
        <v>118</v>
      </c>
      <c r="I132">
        <v>0</v>
      </c>
      <c r="J132" t="s">
        <v>2</v>
      </c>
      <c r="K132" t="s">
        <v>1169</v>
      </c>
      <c r="L132" t="str">
        <f>IFERROR(IF(VALUE(tblRace2024[[#This Row],[Position]])=1,"Yes","No"),"No")</f>
        <v>No</v>
      </c>
      <c r="M132">
        <v>2024</v>
      </c>
    </row>
    <row r="133" spans="1:13" x14ac:dyDescent="0.45">
      <c r="A133" t="s">
        <v>1148</v>
      </c>
      <c r="B133" t="s">
        <v>70</v>
      </c>
      <c r="C133">
        <v>3</v>
      </c>
      <c r="D133" t="s">
        <v>978</v>
      </c>
      <c r="E133" t="s">
        <v>979</v>
      </c>
      <c r="F133">
        <v>9</v>
      </c>
      <c r="G133">
        <v>62</v>
      </c>
      <c r="H133" t="s">
        <v>118</v>
      </c>
      <c r="I133">
        <v>0</v>
      </c>
      <c r="J133" t="s">
        <v>2</v>
      </c>
      <c r="K133" t="s">
        <v>1170</v>
      </c>
      <c r="L133" t="str">
        <f>IFERROR(IF(VALUE(tblRace2024[[#This Row],[Position]])=1,"Yes","No"),"No")</f>
        <v>No</v>
      </c>
      <c r="M133">
        <v>2024</v>
      </c>
    </row>
    <row r="134" spans="1:13" x14ac:dyDescent="0.45">
      <c r="A134" t="s">
        <v>1148</v>
      </c>
      <c r="B134" t="s">
        <v>75</v>
      </c>
      <c r="C134">
        <v>31</v>
      </c>
      <c r="D134" t="s">
        <v>71</v>
      </c>
      <c r="E134" t="s">
        <v>62</v>
      </c>
      <c r="F134">
        <v>12</v>
      </c>
      <c r="G134">
        <v>62</v>
      </c>
      <c r="H134" t="s">
        <v>118</v>
      </c>
      <c r="I134">
        <v>0</v>
      </c>
      <c r="J134" t="s">
        <v>2</v>
      </c>
      <c r="K134" t="s">
        <v>1171</v>
      </c>
      <c r="L134" t="str">
        <f>IFERROR(IF(VALUE(tblRace2024[[#This Row],[Position]])=1,"Yes","No"),"No")</f>
        <v>No</v>
      </c>
      <c r="M134">
        <v>2024</v>
      </c>
    </row>
    <row r="135" spans="1:13" x14ac:dyDescent="0.45">
      <c r="A135" t="s">
        <v>1148</v>
      </c>
      <c r="B135" t="s">
        <v>120</v>
      </c>
      <c r="C135">
        <v>24</v>
      </c>
      <c r="D135" t="s">
        <v>974</v>
      </c>
      <c r="E135" t="s">
        <v>44</v>
      </c>
      <c r="F135">
        <v>17</v>
      </c>
      <c r="G135">
        <v>62</v>
      </c>
      <c r="H135" t="s">
        <v>118</v>
      </c>
      <c r="I135">
        <v>0</v>
      </c>
      <c r="J135" t="s">
        <v>2</v>
      </c>
      <c r="K135" t="s">
        <v>1172</v>
      </c>
      <c r="L135" t="str">
        <f>IFERROR(IF(VALUE(tblRace2024[[#This Row],[Position]])=1,"Yes","No"),"No")</f>
        <v>No</v>
      </c>
      <c r="M135">
        <v>2024</v>
      </c>
    </row>
    <row r="136" spans="1:13" x14ac:dyDescent="0.45">
      <c r="A136" t="s">
        <v>1148</v>
      </c>
      <c r="B136" t="s">
        <v>122</v>
      </c>
      <c r="C136">
        <v>10</v>
      </c>
      <c r="D136" t="s">
        <v>61</v>
      </c>
      <c r="E136" t="s">
        <v>62</v>
      </c>
      <c r="F136">
        <v>15</v>
      </c>
      <c r="G136">
        <v>62</v>
      </c>
      <c r="H136" t="s">
        <v>118</v>
      </c>
      <c r="I136">
        <v>0</v>
      </c>
      <c r="J136" t="s">
        <v>2</v>
      </c>
      <c r="K136" t="s">
        <v>1173</v>
      </c>
      <c r="L136" t="str">
        <f>IFERROR(IF(VALUE(tblRace2024[[#This Row],[Position]])=1,"Yes","No"),"No")</f>
        <v>No</v>
      </c>
      <c r="M136">
        <v>2024</v>
      </c>
    </row>
    <row r="137" spans="1:13" x14ac:dyDescent="0.45">
      <c r="A137" t="s">
        <v>1148</v>
      </c>
      <c r="B137" t="s">
        <v>163</v>
      </c>
      <c r="C137">
        <v>2</v>
      </c>
      <c r="D137" t="s">
        <v>988</v>
      </c>
      <c r="E137" t="s">
        <v>34</v>
      </c>
      <c r="F137">
        <v>19</v>
      </c>
      <c r="G137">
        <v>62</v>
      </c>
      <c r="H137" t="s">
        <v>118</v>
      </c>
      <c r="I137">
        <v>0</v>
      </c>
      <c r="J137" t="s">
        <v>2</v>
      </c>
      <c r="K137" t="s">
        <v>1174</v>
      </c>
      <c r="L137" t="str">
        <f>IFERROR(IF(VALUE(tblRace2024[[#This Row],[Position]])=1,"Yes","No"),"No")</f>
        <v>No</v>
      </c>
      <c r="M137">
        <v>2024</v>
      </c>
    </row>
    <row r="138" spans="1:13" x14ac:dyDescent="0.45">
      <c r="A138" t="s">
        <v>1148</v>
      </c>
      <c r="B138" t="s">
        <v>166</v>
      </c>
      <c r="C138">
        <v>77</v>
      </c>
      <c r="D138" t="s">
        <v>986</v>
      </c>
      <c r="E138" t="s">
        <v>44</v>
      </c>
      <c r="F138">
        <v>16</v>
      </c>
      <c r="G138">
        <v>62</v>
      </c>
      <c r="H138" t="s">
        <v>118</v>
      </c>
      <c r="I138">
        <v>0</v>
      </c>
      <c r="J138" t="s">
        <v>2</v>
      </c>
      <c r="K138" t="s">
        <v>1175</v>
      </c>
      <c r="L138" t="str">
        <f>IFERROR(IF(VALUE(tblRace2024[[#This Row],[Position]])=1,"Yes","No"),"No")</f>
        <v>No</v>
      </c>
      <c r="M138">
        <v>2024</v>
      </c>
    </row>
    <row r="139" spans="1:13" x14ac:dyDescent="0.45">
      <c r="A139" t="s">
        <v>1148</v>
      </c>
      <c r="B139" t="s">
        <v>169</v>
      </c>
      <c r="C139">
        <v>14</v>
      </c>
      <c r="D139" t="s">
        <v>85</v>
      </c>
      <c r="E139" t="s">
        <v>39</v>
      </c>
      <c r="F139">
        <v>20</v>
      </c>
      <c r="G139">
        <v>62</v>
      </c>
      <c r="H139" t="s">
        <v>118</v>
      </c>
      <c r="I139">
        <v>0</v>
      </c>
      <c r="J139" t="s">
        <v>2</v>
      </c>
      <c r="K139" t="s">
        <v>1176</v>
      </c>
      <c r="L139" t="str">
        <f>IFERROR(IF(VALUE(tblRace2024[[#This Row],[Position]])=1,"Yes","No"),"No")</f>
        <v>No</v>
      </c>
      <c r="M139">
        <v>2024</v>
      </c>
    </row>
    <row r="140" spans="1:13" x14ac:dyDescent="0.45">
      <c r="A140" t="s">
        <v>1148</v>
      </c>
      <c r="B140" t="s">
        <v>79</v>
      </c>
      <c r="C140">
        <v>23</v>
      </c>
      <c r="D140" t="s">
        <v>33</v>
      </c>
      <c r="E140" t="s">
        <v>34</v>
      </c>
      <c r="F140">
        <v>14</v>
      </c>
      <c r="G140">
        <v>51</v>
      </c>
      <c r="H140" t="s">
        <v>81</v>
      </c>
      <c r="I140">
        <v>0</v>
      </c>
      <c r="J140" t="s">
        <v>2</v>
      </c>
      <c r="K140" t="s">
        <v>1177</v>
      </c>
      <c r="L140" t="str">
        <f>IFERROR(IF(VALUE(tblRace2024[[#This Row],[Position]])=1,"Yes","No"),"No")</f>
        <v>No</v>
      </c>
      <c r="M140">
        <v>2024</v>
      </c>
    </row>
    <row r="141" spans="1:13" x14ac:dyDescent="0.45">
      <c r="A141" t="s">
        <v>317</v>
      </c>
      <c r="B141" t="s">
        <v>12</v>
      </c>
      <c r="C141">
        <v>16</v>
      </c>
      <c r="D141" t="s">
        <v>48</v>
      </c>
      <c r="E141" t="s">
        <v>49</v>
      </c>
      <c r="F141">
        <v>1</v>
      </c>
      <c r="G141">
        <v>78</v>
      </c>
      <c r="H141" t="s">
        <v>1178</v>
      </c>
      <c r="I141">
        <v>25</v>
      </c>
      <c r="J141" t="s">
        <v>2</v>
      </c>
      <c r="K141" t="s">
        <v>1179</v>
      </c>
      <c r="L141" t="str">
        <f>IFERROR(IF(VALUE(tblRace2024[[#This Row],[Position]])=1,"Yes","No"),"No")</f>
        <v>Yes</v>
      </c>
      <c r="M141">
        <v>2024</v>
      </c>
    </row>
    <row r="142" spans="1:13" x14ac:dyDescent="0.45">
      <c r="A142" t="s">
        <v>317</v>
      </c>
      <c r="B142" t="s">
        <v>18</v>
      </c>
      <c r="C142">
        <v>81</v>
      </c>
      <c r="D142" t="s">
        <v>53</v>
      </c>
      <c r="E142" t="s">
        <v>14</v>
      </c>
      <c r="F142">
        <v>2</v>
      </c>
      <c r="G142">
        <v>78</v>
      </c>
      <c r="H142" t="s">
        <v>1180</v>
      </c>
      <c r="I142">
        <v>18</v>
      </c>
      <c r="J142" t="s">
        <v>2</v>
      </c>
      <c r="K142" t="s">
        <v>1181</v>
      </c>
      <c r="L142" t="str">
        <f>IFERROR(IF(VALUE(tblRace2024[[#This Row],[Position]])=1,"Yes","No"),"No")</f>
        <v>No</v>
      </c>
      <c r="M142">
        <v>2024</v>
      </c>
    </row>
    <row r="143" spans="1:13" x14ac:dyDescent="0.45">
      <c r="A143" t="s">
        <v>317</v>
      </c>
      <c r="B143" t="s">
        <v>23</v>
      </c>
      <c r="C143">
        <v>55</v>
      </c>
      <c r="D143" t="s">
        <v>87</v>
      </c>
      <c r="E143" t="s">
        <v>49</v>
      </c>
      <c r="F143">
        <v>3</v>
      </c>
      <c r="G143">
        <v>78</v>
      </c>
      <c r="H143" t="s">
        <v>1182</v>
      </c>
      <c r="I143">
        <v>15</v>
      </c>
      <c r="J143" t="s">
        <v>2</v>
      </c>
      <c r="K143" t="s">
        <v>1183</v>
      </c>
      <c r="L143" t="str">
        <f>IFERROR(IF(VALUE(tblRace2024[[#This Row],[Position]])=1,"Yes","No"),"No")</f>
        <v>No</v>
      </c>
      <c r="M143">
        <v>2024</v>
      </c>
    </row>
    <row r="144" spans="1:13" x14ac:dyDescent="0.45">
      <c r="A144" t="s">
        <v>317</v>
      </c>
      <c r="B144" t="s">
        <v>28</v>
      </c>
      <c r="C144">
        <v>4</v>
      </c>
      <c r="D144" t="s">
        <v>13</v>
      </c>
      <c r="E144" t="s">
        <v>14</v>
      </c>
      <c r="F144">
        <v>4</v>
      </c>
      <c r="G144">
        <v>78</v>
      </c>
      <c r="H144" t="s">
        <v>1184</v>
      </c>
      <c r="I144">
        <v>12</v>
      </c>
      <c r="J144" t="s">
        <v>2</v>
      </c>
      <c r="K144" t="s">
        <v>1185</v>
      </c>
      <c r="L144" t="str">
        <f>IFERROR(IF(VALUE(tblRace2024[[#This Row],[Position]])=1,"Yes","No"),"No")</f>
        <v>No</v>
      </c>
      <c r="M144">
        <v>2024</v>
      </c>
    </row>
    <row r="145" spans="1:13" x14ac:dyDescent="0.45">
      <c r="A145" t="s">
        <v>317</v>
      </c>
      <c r="B145" t="s">
        <v>32</v>
      </c>
      <c r="C145">
        <v>63</v>
      </c>
      <c r="D145" t="s">
        <v>24</v>
      </c>
      <c r="E145" t="s">
        <v>25</v>
      </c>
      <c r="F145">
        <v>5</v>
      </c>
      <c r="G145">
        <v>78</v>
      </c>
      <c r="H145" t="s">
        <v>1186</v>
      </c>
      <c r="I145">
        <v>10</v>
      </c>
      <c r="J145" t="s">
        <v>2</v>
      </c>
      <c r="K145" t="s">
        <v>1187</v>
      </c>
      <c r="L145" t="str">
        <f>IFERROR(IF(VALUE(tblRace2024[[#This Row],[Position]])=1,"Yes","No"),"No")</f>
        <v>No</v>
      </c>
      <c r="M145">
        <v>2024</v>
      </c>
    </row>
    <row r="146" spans="1:13" x14ac:dyDescent="0.45">
      <c r="A146" t="s">
        <v>317</v>
      </c>
      <c r="B146" t="s">
        <v>37</v>
      </c>
      <c r="C146">
        <v>1</v>
      </c>
      <c r="D146" t="s">
        <v>19</v>
      </c>
      <c r="E146" t="s">
        <v>20</v>
      </c>
      <c r="F146">
        <v>6</v>
      </c>
      <c r="G146">
        <v>78</v>
      </c>
      <c r="H146" t="s">
        <v>1188</v>
      </c>
      <c r="I146">
        <v>8</v>
      </c>
      <c r="J146" t="s">
        <v>2</v>
      </c>
      <c r="K146" t="s">
        <v>1189</v>
      </c>
      <c r="L146" t="str">
        <f>IFERROR(IF(VALUE(tblRace2024[[#This Row],[Position]])=1,"Yes","No"),"No")</f>
        <v>No</v>
      </c>
      <c r="M146">
        <v>2024</v>
      </c>
    </row>
    <row r="147" spans="1:13" x14ac:dyDescent="0.45">
      <c r="A147" t="s">
        <v>317</v>
      </c>
      <c r="B147" t="s">
        <v>42</v>
      </c>
      <c r="C147">
        <v>44</v>
      </c>
      <c r="D147" t="s">
        <v>57</v>
      </c>
      <c r="E147" t="s">
        <v>25</v>
      </c>
      <c r="F147">
        <v>7</v>
      </c>
      <c r="G147">
        <v>78</v>
      </c>
      <c r="H147" t="s">
        <v>1190</v>
      </c>
      <c r="I147">
        <v>7</v>
      </c>
      <c r="J147" t="s">
        <v>16</v>
      </c>
      <c r="K147" t="s">
        <v>1191</v>
      </c>
      <c r="L147" t="str">
        <f>IFERROR(IF(VALUE(tblRace2024[[#This Row],[Position]])=1,"Yes","No"),"No")</f>
        <v>No</v>
      </c>
      <c r="M147">
        <v>2024</v>
      </c>
    </row>
    <row r="148" spans="1:13" x14ac:dyDescent="0.45">
      <c r="A148" t="s">
        <v>317</v>
      </c>
      <c r="B148" t="s">
        <v>47</v>
      </c>
      <c r="C148">
        <v>22</v>
      </c>
      <c r="D148" t="s">
        <v>66</v>
      </c>
      <c r="E148" t="s">
        <v>979</v>
      </c>
      <c r="F148">
        <v>8</v>
      </c>
      <c r="G148">
        <v>77</v>
      </c>
      <c r="H148" t="s">
        <v>118</v>
      </c>
      <c r="I148">
        <v>4</v>
      </c>
      <c r="J148" t="s">
        <v>2</v>
      </c>
      <c r="K148" t="s">
        <v>1192</v>
      </c>
      <c r="L148" t="str">
        <f>IFERROR(IF(VALUE(tblRace2024[[#This Row],[Position]])=1,"Yes","No"),"No")</f>
        <v>No</v>
      </c>
      <c r="M148">
        <v>2024</v>
      </c>
    </row>
    <row r="149" spans="1:13" x14ac:dyDescent="0.45">
      <c r="A149" t="s">
        <v>317</v>
      </c>
      <c r="B149" t="s">
        <v>52</v>
      </c>
      <c r="C149">
        <v>23</v>
      </c>
      <c r="D149" t="s">
        <v>33</v>
      </c>
      <c r="E149" t="s">
        <v>34</v>
      </c>
      <c r="F149">
        <v>9</v>
      </c>
      <c r="G149">
        <v>77</v>
      </c>
      <c r="H149" t="s">
        <v>118</v>
      </c>
      <c r="I149">
        <v>2</v>
      </c>
      <c r="J149" t="s">
        <v>2</v>
      </c>
      <c r="K149" t="s">
        <v>1193</v>
      </c>
      <c r="L149" t="str">
        <f>IFERROR(IF(VALUE(tblRace2024[[#This Row],[Position]])=1,"Yes","No"),"No")</f>
        <v>No</v>
      </c>
      <c r="M149">
        <v>2024</v>
      </c>
    </row>
    <row r="150" spans="1:13" x14ac:dyDescent="0.45">
      <c r="A150" t="s">
        <v>317</v>
      </c>
      <c r="B150" t="s">
        <v>56</v>
      </c>
      <c r="C150">
        <v>10</v>
      </c>
      <c r="D150" t="s">
        <v>61</v>
      </c>
      <c r="E150" t="s">
        <v>62</v>
      </c>
      <c r="F150">
        <v>10</v>
      </c>
      <c r="G150">
        <v>77</v>
      </c>
      <c r="H150" t="s">
        <v>118</v>
      </c>
      <c r="I150">
        <v>1</v>
      </c>
      <c r="J150" t="s">
        <v>2</v>
      </c>
      <c r="K150" t="s">
        <v>1194</v>
      </c>
      <c r="L150" t="str">
        <f>IFERROR(IF(VALUE(tblRace2024[[#This Row],[Position]])=1,"Yes","No"),"No")</f>
        <v>No</v>
      </c>
      <c r="M150">
        <v>2024</v>
      </c>
    </row>
    <row r="151" spans="1:13" x14ac:dyDescent="0.45">
      <c r="A151" t="s">
        <v>317</v>
      </c>
      <c r="B151" t="s">
        <v>60</v>
      </c>
      <c r="C151">
        <v>14</v>
      </c>
      <c r="D151" t="s">
        <v>85</v>
      </c>
      <c r="E151" t="s">
        <v>39</v>
      </c>
      <c r="F151">
        <v>14</v>
      </c>
      <c r="G151">
        <v>76</v>
      </c>
      <c r="H151" t="s">
        <v>331</v>
      </c>
      <c r="I151">
        <v>0</v>
      </c>
      <c r="J151" t="s">
        <v>2</v>
      </c>
      <c r="K151" t="s">
        <v>1195</v>
      </c>
      <c r="L151" t="str">
        <f>IFERROR(IF(VALUE(tblRace2024[[#This Row],[Position]])=1,"Yes","No"),"No")</f>
        <v>No</v>
      </c>
      <c r="M151">
        <v>2024</v>
      </c>
    </row>
    <row r="152" spans="1:13" x14ac:dyDescent="0.45">
      <c r="A152" t="s">
        <v>317</v>
      </c>
      <c r="B152" t="s">
        <v>65</v>
      </c>
      <c r="C152">
        <v>3</v>
      </c>
      <c r="D152" t="s">
        <v>978</v>
      </c>
      <c r="E152" t="s">
        <v>979</v>
      </c>
      <c r="F152">
        <v>12</v>
      </c>
      <c r="G152">
        <v>76</v>
      </c>
      <c r="H152" t="s">
        <v>331</v>
      </c>
      <c r="I152">
        <v>0</v>
      </c>
      <c r="J152" t="s">
        <v>2</v>
      </c>
      <c r="K152" t="s">
        <v>1196</v>
      </c>
      <c r="L152" t="str">
        <f>IFERROR(IF(VALUE(tblRace2024[[#This Row],[Position]])=1,"Yes","No"),"No")</f>
        <v>No</v>
      </c>
      <c r="M152">
        <v>2024</v>
      </c>
    </row>
    <row r="153" spans="1:13" x14ac:dyDescent="0.45">
      <c r="A153" t="s">
        <v>317</v>
      </c>
      <c r="B153" t="s">
        <v>70</v>
      </c>
      <c r="C153">
        <v>77</v>
      </c>
      <c r="D153" t="s">
        <v>986</v>
      </c>
      <c r="E153" t="s">
        <v>44</v>
      </c>
      <c r="F153">
        <v>17</v>
      </c>
      <c r="G153">
        <v>76</v>
      </c>
      <c r="H153" t="s">
        <v>331</v>
      </c>
      <c r="I153">
        <v>0</v>
      </c>
      <c r="J153" t="s">
        <v>2</v>
      </c>
      <c r="K153" t="s">
        <v>1197</v>
      </c>
      <c r="L153" t="str">
        <f>IFERROR(IF(VALUE(tblRace2024[[#This Row],[Position]])=1,"Yes","No"),"No")</f>
        <v>No</v>
      </c>
      <c r="M153">
        <v>2024</v>
      </c>
    </row>
    <row r="154" spans="1:13" x14ac:dyDescent="0.45">
      <c r="A154" t="s">
        <v>317</v>
      </c>
      <c r="B154" t="s">
        <v>75</v>
      </c>
      <c r="C154">
        <v>18</v>
      </c>
      <c r="D154" t="s">
        <v>38</v>
      </c>
      <c r="E154" t="s">
        <v>39</v>
      </c>
      <c r="F154">
        <v>13</v>
      </c>
      <c r="G154">
        <v>76</v>
      </c>
      <c r="H154" t="s">
        <v>331</v>
      </c>
      <c r="I154">
        <v>0</v>
      </c>
      <c r="J154" t="s">
        <v>2</v>
      </c>
      <c r="K154" t="s">
        <v>1198</v>
      </c>
      <c r="L154" t="str">
        <f>IFERROR(IF(VALUE(tblRace2024[[#This Row],[Position]])=1,"Yes","No"),"No")</f>
        <v>No</v>
      </c>
      <c r="M154">
        <v>2024</v>
      </c>
    </row>
    <row r="155" spans="1:13" x14ac:dyDescent="0.45">
      <c r="A155" t="s">
        <v>317</v>
      </c>
      <c r="B155" t="s">
        <v>120</v>
      </c>
      <c r="C155">
        <v>2</v>
      </c>
      <c r="D155" t="s">
        <v>988</v>
      </c>
      <c r="E155" t="s">
        <v>34</v>
      </c>
      <c r="F155">
        <v>15</v>
      </c>
      <c r="G155">
        <v>76</v>
      </c>
      <c r="H155" t="s">
        <v>331</v>
      </c>
      <c r="I155">
        <v>0</v>
      </c>
      <c r="J155" t="s">
        <v>2</v>
      </c>
      <c r="K155" t="s">
        <v>1199</v>
      </c>
      <c r="L155" t="str">
        <f>IFERROR(IF(VALUE(tblRace2024[[#This Row],[Position]])=1,"Yes","No"),"No")</f>
        <v>No</v>
      </c>
      <c r="M155">
        <v>2024</v>
      </c>
    </row>
    <row r="156" spans="1:13" x14ac:dyDescent="0.45">
      <c r="A156" t="s">
        <v>317</v>
      </c>
      <c r="B156" t="s">
        <v>122</v>
      </c>
      <c r="C156">
        <v>24</v>
      </c>
      <c r="D156" t="s">
        <v>974</v>
      </c>
      <c r="E156" t="s">
        <v>44</v>
      </c>
      <c r="F156">
        <v>18</v>
      </c>
      <c r="G156">
        <v>76</v>
      </c>
      <c r="H156" t="s">
        <v>331</v>
      </c>
      <c r="I156">
        <v>0</v>
      </c>
      <c r="J156" t="s">
        <v>2</v>
      </c>
      <c r="K156" t="s">
        <v>1200</v>
      </c>
      <c r="L156" t="str">
        <f>IFERROR(IF(VALUE(tblRace2024[[#This Row],[Position]])=1,"Yes","No"),"No")</f>
        <v>No</v>
      </c>
      <c r="M156">
        <v>2024</v>
      </c>
    </row>
    <row r="157" spans="1:13" x14ac:dyDescent="0.45">
      <c r="A157" t="s">
        <v>317</v>
      </c>
      <c r="B157" t="s">
        <v>79</v>
      </c>
      <c r="C157">
        <v>31</v>
      </c>
      <c r="D157" t="s">
        <v>71</v>
      </c>
      <c r="E157" t="s">
        <v>62</v>
      </c>
      <c r="F157">
        <v>11</v>
      </c>
      <c r="G157">
        <v>0</v>
      </c>
      <c r="H157" t="s">
        <v>81</v>
      </c>
      <c r="I157">
        <v>0</v>
      </c>
      <c r="J157" t="s">
        <v>2</v>
      </c>
      <c r="K157" t="s">
        <v>88</v>
      </c>
      <c r="L157" t="str">
        <f>IFERROR(IF(VALUE(tblRace2024[[#This Row],[Position]])=1,"Yes","No"),"No")</f>
        <v>No</v>
      </c>
      <c r="M157">
        <v>2024</v>
      </c>
    </row>
    <row r="158" spans="1:13" x14ac:dyDescent="0.45">
      <c r="A158" t="s">
        <v>317</v>
      </c>
      <c r="B158" t="s">
        <v>79</v>
      </c>
      <c r="C158">
        <v>11</v>
      </c>
      <c r="D158" t="s">
        <v>955</v>
      </c>
      <c r="E158" t="s">
        <v>20</v>
      </c>
      <c r="F158">
        <v>16</v>
      </c>
      <c r="G158">
        <v>0</v>
      </c>
      <c r="H158" t="s">
        <v>81</v>
      </c>
      <c r="I158">
        <v>0</v>
      </c>
      <c r="J158" t="s">
        <v>2</v>
      </c>
      <c r="K158" t="s">
        <v>88</v>
      </c>
      <c r="L158" t="str">
        <f>IFERROR(IF(VALUE(tblRace2024[[#This Row],[Position]])=1,"Yes","No"),"No")</f>
        <v>No</v>
      </c>
      <c r="M158">
        <v>2024</v>
      </c>
    </row>
    <row r="159" spans="1:13" x14ac:dyDescent="0.45">
      <c r="A159" t="s">
        <v>317</v>
      </c>
      <c r="B159" t="s">
        <v>79</v>
      </c>
      <c r="C159">
        <v>27</v>
      </c>
      <c r="D159" t="s">
        <v>43</v>
      </c>
      <c r="E159" t="s">
        <v>72</v>
      </c>
      <c r="F159">
        <v>19</v>
      </c>
      <c r="G159">
        <v>0</v>
      </c>
      <c r="H159" t="s">
        <v>81</v>
      </c>
      <c r="I159">
        <v>0</v>
      </c>
      <c r="J159" t="s">
        <v>2</v>
      </c>
      <c r="K159" t="s">
        <v>88</v>
      </c>
      <c r="L159" t="str">
        <f>IFERROR(IF(VALUE(tblRace2024[[#This Row],[Position]])=1,"Yes","No"),"No")</f>
        <v>No</v>
      </c>
      <c r="M159">
        <v>2024</v>
      </c>
    </row>
    <row r="160" spans="1:13" x14ac:dyDescent="0.45">
      <c r="A160" t="s">
        <v>317</v>
      </c>
      <c r="B160" t="s">
        <v>79</v>
      </c>
      <c r="C160">
        <v>20</v>
      </c>
      <c r="D160" t="s">
        <v>976</v>
      </c>
      <c r="E160" t="s">
        <v>72</v>
      </c>
      <c r="F160">
        <v>20</v>
      </c>
      <c r="G160">
        <v>0</v>
      </c>
      <c r="H160" t="s">
        <v>81</v>
      </c>
      <c r="I160">
        <v>0</v>
      </c>
      <c r="J160" t="s">
        <v>2</v>
      </c>
      <c r="K160" t="s">
        <v>88</v>
      </c>
      <c r="L160" t="str">
        <f>IFERROR(IF(VALUE(tblRace2024[[#This Row],[Position]])=1,"Yes","No"),"No")</f>
        <v>No</v>
      </c>
      <c r="M160">
        <v>2024</v>
      </c>
    </row>
    <row r="161" spans="1:13" hidden="1" x14ac:dyDescent="0.45">
      <c r="A161" t="s">
        <v>844</v>
      </c>
      <c r="B161" t="s">
        <v>12</v>
      </c>
      <c r="C161">
        <v>1</v>
      </c>
      <c r="D161" t="s">
        <v>19</v>
      </c>
      <c r="E161" t="s">
        <v>20</v>
      </c>
      <c r="F161">
        <v>2</v>
      </c>
      <c r="G161">
        <v>70</v>
      </c>
      <c r="H161" t="s">
        <v>1201</v>
      </c>
      <c r="I161">
        <v>25</v>
      </c>
      <c r="J161" t="s">
        <v>2</v>
      </c>
      <c r="K161" t="s">
        <v>1202</v>
      </c>
      <c r="L161" t="str">
        <f>IFERROR(IF(VALUE(tblRace2024[[#This Row],[Position]])=1,"Yes","No"),"No")</f>
        <v>Yes</v>
      </c>
      <c r="M161">
        <v>2024</v>
      </c>
    </row>
    <row r="162" spans="1:13" hidden="1" x14ac:dyDescent="0.45">
      <c r="A162" t="s">
        <v>844</v>
      </c>
      <c r="B162" t="s">
        <v>18</v>
      </c>
      <c r="C162">
        <v>4</v>
      </c>
      <c r="D162" t="s">
        <v>13</v>
      </c>
      <c r="E162" t="s">
        <v>14</v>
      </c>
      <c r="F162">
        <v>3</v>
      </c>
      <c r="G162">
        <v>70</v>
      </c>
      <c r="H162" t="s">
        <v>1203</v>
      </c>
      <c r="I162">
        <v>18</v>
      </c>
      <c r="J162" t="s">
        <v>2</v>
      </c>
      <c r="K162" t="s">
        <v>1204</v>
      </c>
      <c r="L162" t="str">
        <f>IFERROR(IF(VALUE(tblRace2024[[#This Row],[Position]])=1,"Yes","No"),"No")</f>
        <v>No</v>
      </c>
      <c r="M162">
        <v>2024</v>
      </c>
    </row>
    <row r="163" spans="1:13" hidden="1" x14ac:dyDescent="0.45">
      <c r="A163" t="s">
        <v>844</v>
      </c>
      <c r="B163" t="s">
        <v>23</v>
      </c>
      <c r="C163">
        <v>63</v>
      </c>
      <c r="D163" t="s">
        <v>24</v>
      </c>
      <c r="E163" t="s">
        <v>25</v>
      </c>
      <c r="F163">
        <v>1</v>
      </c>
      <c r="G163">
        <v>70</v>
      </c>
      <c r="H163" t="s">
        <v>1205</v>
      </c>
      <c r="I163">
        <v>15</v>
      </c>
      <c r="J163" t="s">
        <v>2</v>
      </c>
      <c r="K163" t="s">
        <v>1206</v>
      </c>
      <c r="L163" t="str">
        <f>IFERROR(IF(VALUE(tblRace2024[[#This Row],[Position]])=1,"Yes","No"),"No")</f>
        <v>No</v>
      </c>
      <c r="M163">
        <v>2024</v>
      </c>
    </row>
    <row r="164" spans="1:13" hidden="1" x14ac:dyDescent="0.45">
      <c r="A164" t="s">
        <v>844</v>
      </c>
      <c r="B164" t="s">
        <v>28</v>
      </c>
      <c r="C164">
        <v>44</v>
      </c>
      <c r="D164" t="s">
        <v>57</v>
      </c>
      <c r="E164" t="s">
        <v>25</v>
      </c>
      <c r="F164">
        <v>7</v>
      </c>
      <c r="G164">
        <v>70</v>
      </c>
      <c r="H164" t="s">
        <v>1207</v>
      </c>
      <c r="I164">
        <v>13</v>
      </c>
      <c r="J164" t="s">
        <v>16</v>
      </c>
      <c r="K164" t="s">
        <v>1208</v>
      </c>
      <c r="L164" t="str">
        <f>IFERROR(IF(VALUE(tblRace2024[[#This Row],[Position]])=1,"Yes","No"),"No")</f>
        <v>No</v>
      </c>
      <c r="M164">
        <v>2024</v>
      </c>
    </row>
    <row r="165" spans="1:13" hidden="1" x14ac:dyDescent="0.45">
      <c r="A165" t="s">
        <v>844</v>
      </c>
      <c r="B165" t="s">
        <v>32</v>
      </c>
      <c r="C165">
        <v>81</v>
      </c>
      <c r="D165" t="s">
        <v>53</v>
      </c>
      <c r="E165" t="s">
        <v>14</v>
      </c>
      <c r="F165">
        <v>4</v>
      </c>
      <c r="G165">
        <v>70</v>
      </c>
      <c r="H165" t="s">
        <v>1209</v>
      </c>
      <c r="I165">
        <v>10</v>
      </c>
      <c r="J165" t="s">
        <v>2</v>
      </c>
      <c r="K165" t="s">
        <v>1210</v>
      </c>
      <c r="L165" t="str">
        <f>IFERROR(IF(VALUE(tblRace2024[[#This Row],[Position]])=1,"Yes","No"),"No")</f>
        <v>No</v>
      </c>
      <c r="M165">
        <v>2024</v>
      </c>
    </row>
    <row r="166" spans="1:13" hidden="1" x14ac:dyDescent="0.45">
      <c r="A166" t="s">
        <v>844</v>
      </c>
      <c r="B166" t="s">
        <v>37</v>
      </c>
      <c r="C166">
        <v>14</v>
      </c>
      <c r="D166" t="s">
        <v>85</v>
      </c>
      <c r="E166" t="s">
        <v>39</v>
      </c>
      <c r="F166">
        <v>6</v>
      </c>
      <c r="G166">
        <v>70</v>
      </c>
      <c r="H166" t="s">
        <v>1211</v>
      </c>
      <c r="I166">
        <v>8</v>
      </c>
      <c r="J166" t="s">
        <v>2</v>
      </c>
      <c r="K166" t="s">
        <v>1212</v>
      </c>
      <c r="L166" t="str">
        <f>IFERROR(IF(VALUE(tblRace2024[[#This Row],[Position]])=1,"Yes","No"),"No")</f>
        <v>No</v>
      </c>
      <c r="M166">
        <v>2024</v>
      </c>
    </row>
    <row r="167" spans="1:13" hidden="1" x14ac:dyDescent="0.45">
      <c r="A167" t="s">
        <v>844</v>
      </c>
      <c r="B167" t="s">
        <v>42</v>
      </c>
      <c r="C167">
        <v>18</v>
      </c>
      <c r="D167" t="s">
        <v>38</v>
      </c>
      <c r="E167" t="s">
        <v>39</v>
      </c>
      <c r="F167">
        <v>9</v>
      </c>
      <c r="G167">
        <v>70</v>
      </c>
      <c r="H167" t="s">
        <v>1213</v>
      </c>
      <c r="I167">
        <v>6</v>
      </c>
      <c r="J167" t="s">
        <v>2</v>
      </c>
      <c r="K167" t="s">
        <v>1214</v>
      </c>
      <c r="L167" t="str">
        <f>IFERROR(IF(VALUE(tblRace2024[[#This Row],[Position]])=1,"Yes","No"),"No")</f>
        <v>No</v>
      </c>
      <c r="M167">
        <v>2024</v>
      </c>
    </row>
    <row r="168" spans="1:13" hidden="1" x14ac:dyDescent="0.45">
      <c r="A168" t="s">
        <v>844</v>
      </c>
      <c r="B168" t="s">
        <v>47</v>
      </c>
      <c r="C168">
        <v>3</v>
      </c>
      <c r="D168" t="s">
        <v>978</v>
      </c>
      <c r="E168" t="s">
        <v>979</v>
      </c>
      <c r="F168">
        <v>5</v>
      </c>
      <c r="G168">
        <v>70</v>
      </c>
      <c r="H168" t="s">
        <v>1215</v>
      </c>
      <c r="I168">
        <v>4</v>
      </c>
      <c r="J168" t="s">
        <v>2</v>
      </c>
      <c r="K168" t="s">
        <v>1216</v>
      </c>
      <c r="L168" t="str">
        <f>IFERROR(IF(VALUE(tblRace2024[[#This Row],[Position]])=1,"Yes","No"),"No")</f>
        <v>No</v>
      </c>
      <c r="M168">
        <v>2024</v>
      </c>
    </row>
    <row r="169" spans="1:13" hidden="1" x14ac:dyDescent="0.45">
      <c r="A169" t="s">
        <v>844</v>
      </c>
      <c r="B169" t="s">
        <v>52</v>
      </c>
      <c r="C169">
        <v>10</v>
      </c>
      <c r="D169" t="s">
        <v>61</v>
      </c>
      <c r="E169" t="s">
        <v>62</v>
      </c>
      <c r="F169">
        <v>15</v>
      </c>
      <c r="G169">
        <v>70</v>
      </c>
      <c r="H169" t="s">
        <v>1217</v>
      </c>
      <c r="I169">
        <v>2</v>
      </c>
      <c r="J169" t="s">
        <v>2</v>
      </c>
      <c r="K169" t="s">
        <v>1218</v>
      </c>
      <c r="L169" t="str">
        <f>IFERROR(IF(VALUE(tblRace2024[[#This Row],[Position]])=1,"Yes","No"),"No")</f>
        <v>No</v>
      </c>
      <c r="M169">
        <v>2024</v>
      </c>
    </row>
    <row r="170" spans="1:13" hidden="1" x14ac:dyDescent="0.45">
      <c r="A170" t="s">
        <v>844</v>
      </c>
      <c r="B170" t="s">
        <v>56</v>
      </c>
      <c r="C170">
        <v>31</v>
      </c>
      <c r="D170" t="s">
        <v>71</v>
      </c>
      <c r="E170" t="s">
        <v>62</v>
      </c>
      <c r="F170">
        <v>18</v>
      </c>
      <c r="G170">
        <v>70</v>
      </c>
      <c r="H170" t="s">
        <v>1219</v>
      </c>
      <c r="I170">
        <v>1</v>
      </c>
      <c r="J170" t="s">
        <v>2</v>
      </c>
      <c r="K170" t="s">
        <v>1220</v>
      </c>
      <c r="L170" t="str">
        <f>IFERROR(IF(VALUE(tblRace2024[[#This Row],[Position]])=1,"Yes","No"),"No")</f>
        <v>No</v>
      </c>
      <c r="M170">
        <v>2024</v>
      </c>
    </row>
    <row r="171" spans="1:13" hidden="1" x14ac:dyDescent="0.45">
      <c r="A171" t="s">
        <v>844</v>
      </c>
      <c r="B171" t="s">
        <v>60</v>
      </c>
      <c r="C171">
        <v>27</v>
      </c>
      <c r="D171" t="s">
        <v>43</v>
      </c>
      <c r="E171" t="s">
        <v>72</v>
      </c>
      <c r="F171">
        <v>17</v>
      </c>
      <c r="G171">
        <v>70</v>
      </c>
      <c r="H171" t="s">
        <v>1221</v>
      </c>
      <c r="I171">
        <v>0</v>
      </c>
      <c r="J171" t="s">
        <v>2</v>
      </c>
      <c r="K171" t="s">
        <v>1222</v>
      </c>
      <c r="L171" t="str">
        <f>IFERROR(IF(VALUE(tblRace2024[[#This Row],[Position]])=1,"Yes","No"),"No")</f>
        <v>No</v>
      </c>
      <c r="M171">
        <v>2024</v>
      </c>
    </row>
    <row r="172" spans="1:13" hidden="1" x14ac:dyDescent="0.45">
      <c r="A172" t="s">
        <v>844</v>
      </c>
      <c r="B172" t="s">
        <v>65</v>
      </c>
      <c r="C172">
        <v>20</v>
      </c>
      <c r="D172" t="s">
        <v>976</v>
      </c>
      <c r="E172" t="s">
        <v>72</v>
      </c>
      <c r="F172">
        <v>14</v>
      </c>
      <c r="G172">
        <v>70</v>
      </c>
      <c r="H172" t="s">
        <v>1223</v>
      </c>
      <c r="I172">
        <v>0</v>
      </c>
      <c r="J172" t="s">
        <v>2</v>
      </c>
      <c r="K172" t="s">
        <v>1224</v>
      </c>
      <c r="L172" t="str">
        <f>IFERROR(IF(VALUE(tblRace2024[[#This Row],[Position]])=1,"Yes","No"),"No")</f>
        <v>No</v>
      </c>
      <c r="M172">
        <v>2024</v>
      </c>
    </row>
    <row r="173" spans="1:13" hidden="1" x14ac:dyDescent="0.45">
      <c r="A173" t="s">
        <v>844</v>
      </c>
      <c r="B173" t="s">
        <v>70</v>
      </c>
      <c r="C173">
        <v>77</v>
      </c>
      <c r="D173" t="s">
        <v>986</v>
      </c>
      <c r="E173" t="s">
        <v>44</v>
      </c>
      <c r="F173">
        <v>19</v>
      </c>
      <c r="G173">
        <v>70</v>
      </c>
      <c r="H173" t="s">
        <v>1225</v>
      </c>
      <c r="I173">
        <v>0</v>
      </c>
      <c r="J173" t="s">
        <v>2</v>
      </c>
      <c r="K173" t="s">
        <v>1226</v>
      </c>
      <c r="L173" t="str">
        <f>IFERROR(IF(VALUE(tblRace2024[[#This Row],[Position]])=1,"Yes","No"),"No")</f>
        <v>No</v>
      </c>
      <c r="M173">
        <v>2024</v>
      </c>
    </row>
    <row r="174" spans="1:13" hidden="1" x14ac:dyDescent="0.45">
      <c r="A174" t="s">
        <v>844</v>
      </c>
      <c r="B174" t="s">
        <v>75</v>
      </c>
      <c r="C174">
        <v>22</v>
      </c>
      <c r="D174" t="s">
        <v>66</v>
      </c>
      <c r="E174" t="s">
        <v>979</v>
      </c>
      <c r="F174">
        <v>8</v>
      </c>
      <c r="G174">
        <v>70</v>
      </c>
      <c r="H174" t="s">
        <v>1227</v>
      </c>
      <c r="I174">
        <v>0</v>
      </c>
      <c r="J174" t="s">
        <v>2</v>
      </c>
      <c r="K174" t="s">
        <v>1228</v>
      </c>
      <c r="L174" t="str">
        <f>IFERROR(IF(VALUE(tblRace2024[[#This Row],[Position]])=1,"Yes","No"),"No")</f>
        <v>No</v>
      </c>
      <c r="M174">
        <v>2024</v>
      </c>
    </row>
    <row r="175" spans="1:13" hidden="1" x14ac:dyDescent="0.45">
      <c r="A175" t="s">
        <v>844</v>
      </c>
      <c r="B175" t="s">
        <v>120</v>
      </c>
      <c r="C175">
        <v>24</v>
      </c>
      <c r="D175" t="s">
        <v>974</v>
      </c>
      <c r="E175" t="s">
        <v>44</v>
      </c>
      <c r="F175">
        <v>20</v>
      </c>
      <c r="G175">
        <v>69</v>
      </c>
      <c r="H175" t="s">
        <v>118</v>
      </c>
      <c r="I175">
        <v>0</v>
      </c>
      <c r="J175" t="s">
        <v>2</v>
      </c>
      <c r="K175" t="s">
        <v>1229</v>
      </c>
      <c r="L175" t="str">
        <f>IFERROR(IF(VALUE(tblRace2024[[#This Row],[Position]])=1,"Yes","No"),"No")</f>
        <v>No</v>
      </c>
      <c r="M175">
        <v>2024</v>
      </c>
    </row>
    <row r="176" spans="1:13" hidden="1" x14ac:dyDescent="0.45">
      <c r="A176" t="s">
        <v>844</v>
      </c>
      <c r="B176" t="s">
        <v>79</v>
      </c>
      <c r="C176">
        <v>55</v>
      </c>
      <c r="D176" t="s">
        <v>87</v>
      </c>
      <c r="E176" t="s">
        <v>49</v>
      </c>
      <c r="F176">
        <v>12</v>
      </c>
      <c r="G176">
        <v>52</v>
      </c>
      <c r="H176" t="s">
        <v>81</v>
      </c>
      <c r="I176">
        <v>0</v>
      </c>
      <c r="J176" t="s">
        <v>2</v>
      </c>
      <c r="K176" t="s">
        <v>1230</v>
      </c>
      <c r="L176" t="str">
        <f>IFERROR(IF(VALUE(tblRace2024[[#This Row],[Position]])=1,"Yes","No"),"No")</f>
        <v>No</v>
      </c>
      <c r="M176">
        <v>2024</v>
      </c>
    </row>
    <row r="177" spans="1:13" hidden="1" x14ac:dyDescent="0.45">
      <c r="A177" t="s">
        <v>844</v>
      </c>
      <c r="B177" t="s">
        <v>79</v>
      </c>
      <c r="C177">
        <v>23</v>
      </c>
      <c r="D177" t="s">
        <v>33</v>
      </c>
      <c r="E177" t="s">
        <v>34</v>
      </c>
      <c r="F177">
        <v>10</v>
      </c>
      <c r="G177">
        <v>52</v>
      </c>
      <c r="H177" t="s">
        <v>81</v>
      </c>
      <c r="I177">
        <v>0</v>
      </c>
      <c r="J177" t="s">
        <v>2</v>
      </c>
      <c r="K177" t="s">
        <v>1231</v>
      </c>
      <c r="L177" t="str">
        <f>IFERROR(IF(VALUE(tblRace2024[[#This Row],[Position]])=1,"Yes","No"),"No")</f>
        <v>No</v>
      </c>
      <c r="M177">
        <v>2024</v>
      </c>
    </row>
    <row r="178" spans="1:13" hidden="1" x14ac:dyDescent="0.45">
      <c r="A178" t="s">
        <v>844</v>
      </c>
      <c r="B178" t="s">
        <v>79</v>
      </c>
      <c r="C178">
        <v>11</v>
      </c>
      <c r="D178" t="s">
        <v>955</v>
      </c>
      <c r="E178" t="s">
        <v>20</v>
      </c>
      <c r="F178">
        <v>16</v>
      </c>
      <c r="G178">
        <v>51</v>
      </c>
      <c r="H178" t="s">
        <v>81</v>
      </c>
      <c r="I178">
        <v>0</v>
      </c>
      <c r="J178" t="s">
        <v>2</v>
      </c>
      <c r="K178" t="s">
        <v>1232</v>
      </c>
      <c r="L178" t="str">
        <f>IFERROR(IF(VALUE(tblRace2024[[#This Row],[Position]])=1,"Yes","No"),"No")</f>
        <v>No</v>
      </c>
      <c r="M178">
        <v>2024</v>
      </c>
    </row>
    <row r="179" spans="1:13" hidden="1" x14ac:dyDescent="0.45">
      <c r="A179" t="s">
        <v>844</v>
      </c>
      <c r="B179" t="s">
        <v>79</v>
      </c>
      <c r="C179">
        <v>16</v>
      </c>
      <c r="D179" t="s">
        <v>48</v>
      </c>
      <c r="E179" t="s">
        <v>49</v>
      </c>
      <c r="F179">
        <v>11</v>
      </c>
      <c r="G179">
        <v>40</v>
      </c>
      <c r="H179" t="s">
        <v>81</v>
      </c>
      <c r="I179">
        <v>0</v>
      </c>
      <c r="J179" t="s">
        <v>2</v>
      </c>
      <c r="K179" t="s">
        <v>1233</v>
      </c>
      <c r="L179" t="str">
        <f>IFERROR(IF(VALUE(tblRace2024[[#This Row],[Position]])=1,"Yes","No"),"No")</f>
        <v>No</v>
      </c>
      <c r="M179">
        <v>2024</v>
      </c>
    </row>
    <row r="180" spans="1:13" hidden="1" x14ac:dyDescent="0.45">
      <c r="A180" t="s">
        <v>844</v>
      </c>
      <c r="B180" t="s">
        <v>79</v>
      </c>
      <c r="C180">
        <v>2</v>
      </c>
      <c r="D180" t="s">
        <v>988</v>
      </c>
      <c r="E180" t="s">
        <v>34</v>
      </c>
      <c r="F180">
        <v>13</v>
      </c>
      <c r="G180">
        <v>23</v>
      </c>
      <c r="H180" t="s">
        <v>81</v>
      </c>
      <c r="I180">
        <v>0</v>
      </c>
      <c r="J180" t="s">
        <v>2</v>
      </c>
      <c r="K180" t="s">
        <v>1234</v>
      </c>
      <c r="L180" t="str">
        <f>IFERROR(IF(VALUE(tblRace2024[[#This Row],[Position]])=1,"Yes","No"),"No")</f>
        <v>No</v>
      </c>
      <c r="M180">
        <v>2024</v>
      </c>
    </row>
    <row r="181" spans="1:13" x14ac:dyDescent="0.45">
      <c r="A181" t="s">
        <v>345</v>
      </c>
      <c r="B181" t="s">
        <v>12</v>
      </c>
      <c r="C181">
        <v>1</v>
      </c>
      <c r="D181" t="s">
        <v>19</v>
      </c>
      <c r="E181" t="s">
        <v>20</v>
      </c>
      <c r="F181">
        <v>2</v>
      </c>
      <c r="G181">
        <v>66</v>
      </c>
      <c r="H181" t="s">
        <v>1235</v>
      </c>
      <c r="I181">
        <v>25</v>
      </c>
      <c r="J181" t="s">
        <v>2</v>
      </c>
      <c r="K181" t="s">
        <v>1236</v>
      </c>
      <c r="L181" t="str">
        <f>IFERROR(IF(VALUE(tblRace2024[[#This Row],[Position]])=1,"Yes","No"),"No")</f>
        <v>Yes</v>
      </c>
      <c r="M181">
        <v>2024</v>
      </c>
    </row>
    <row r="182" spans="1:13" x14ac:dyDescent="0.45">
      <c r="A182" t="s">
        <v>345</v>
      </c>
      <c r="B182" t="s">
        <v>18</v>
      </c>
      <c r="C182">
        <v>4</v>
      </c>
      <c r="D182" t="s">
        <v>13</v>
      </c>
      <c r="E182" t="s">
        <v>14</v>
      </c>
      <c r="F182">
        <v>1</v>
      </c>
      <c r="G182">
        <v>66</v>
      </c>
      <c r="H182" t="s">
        <v>1237</v>
      </c>
      <c r="I182">
        <v>19</v>
      </c>
      <c r="J182" t="s">
        <v>16</v>
      </c>
      <c r="K182" t="s">
        <v>1238</v>
      </c>
      <c r="L182" t="str">
        <f>IFERROR(IF(VALUE(tblRace2024[[#This Row],[Position]])=1,"Yes","No"),"No")</f>
        <v>No</v>
      </c>
      <c r="M182">
        <v>2024</v>
      </c>
    </row>
    <row r="183" spans="1:13" x14ac:dyDescent="0.45">
      <c r="A183" t="s">
        <v>345</v>
      </c>
      <c r="B183" t="s">
        <v>23</v>
      </c>
      <c r="C183">
        <v>44</v>
      </c>
      <c r="D183" t="s">
        <v>57</v>
      </c>
      <c r="E183" t="s">
        <v>25</v>
      </c>
      <c r="F183">
        <v>3</v>
      </c>
      <c r="G183">
        <v>66</v>
      </c>
      <c r="H183" t="s">
        <v>1239</v>
      </c>
      <c r="I183">
        <v>15</v>
      </c>
      <c r="J183" t="s">
        <v>2</v>
      </c>
      <c r="K183" t="s">
        <v>1240</v>
      </c>
      <c r="L183" t="str">
        <f>IFERROR(IF(VALUE(tblRace2024[[#This Row],[Position]])=1,"Yes","No"),"No")</f>
        <v>No</v>
      </c>
      <c r="M183">
        <v>2024</v>
      </c>
    </row>
    <row r="184" spans="1:13" x14ac:dyDescent="0.45">
      <c r="A184" t="s">
        <v>345</v>
      </c>
      <c r="B184" t="s">
        <v>28</v>
      </c>
      <c r="C184">
        <v>63</v>
      </c>
      <c r="D184" t="s">
        <v>24</v>
      </c>
      <c r="E184" t="s">
        <v>25</v>
      </c>
      <c r="F184">
        <v>4</v>
      </c>
      <c r="G184">
        <v>66</v>
      </c>
      <c r="H184" t="s">
        <v>1241</v>
      </c>
      <c r="I184">
        <v>12</v>
      </c>
      <c r="J184" t="s">
        <v>2</v>
      </c>
      <c r="K184" t="s">
        <v>1242</v>
      </c>
      <c r="L184" t="str">
        <f>IFERROR(IF(VALUE(tblRace2024[[#This Row],[Position]])=1,"Yes","No"),"No")</f>
        <v>No</v>
      </c>
      <c r="M184">
        <v>2024</v>
      </c>
    </row>
    <row r="185" spans="1:13" x14ac:dyDescent="0.45">
      <c r="A185" t="s">
        <v>345</v>
      </c>
      <c r="B185" t="s">
        <v>32</v>
      </c>
      <c r="C185">
        <v>16</v>
      </c>
      <c r="D185" t="s">
        <v>48</v>
      </c>
      <c r="E185" t="s">
        <v>49</v>
      </c>
      <c r="F185">
        <v>5</v>
      </c>
      <c r="G185">
        <v>66</v>
      </c>
      <c r="H185" t="s">
        <v>1243</v>
      </c>
      <c r="I185">
        <v>10</v>
      </c>
      <c r="J185" t="s">
        <v>2</v>
      </c>
      <c r="K185" t="s">
        <v>1244</v>
      </c>
      <c r="L185" t="str">
        <f>IFERROR(IF(VALUE(tblRace2024[[#This Row],[Position]])=1,"Yes","No"),"No")</f>
        <v>No</v>
      </c>
      <c r="M185">
        <v>2024</v>
      </c>
    </row>
    <row r="186" spans="1:13" x14ac:dyDescent="0.45">
      <c r="A186" t="s">
        <v>345</v>
      </c>
      <c r="B186" t="s">
        <v>37</v>
      </c>
      <c r="C186">
        <v>55</v>
      </c>
      <c r="D186" t="s">
        <v>87</v>
      </c>
      <c r="E186" t="s">
        <v>49</v>
      </c>
      <c r="F186">
        <v>6</v>
      </c>
      <c r="G186">
        <v>66</v>
      </c>
      <c r="H186" t="s">
        <v>1245</v>
      </c>
      <c r="I186">
        <v>8</v>
      </c>
      <c r="J186" t="s">
        <v>2</v>
      </c>
      <c r="K186" t="s">
        <v>1246</v>
      </c>
      <c r="L186" t="str">
        <f>IFERROR(IF(VALUE(tblRace2024[[#This Row],[Position]])=1,"Yes","No"),"No")</f>
        <v>No</v>
      </c>
      <c r="M186">
        <v>2024</v>
      </c>
    </row>
    <row r="187" spans="1:13" x14ac:dyDescent="0.45">
      <c r="A187" t="s">
        <v>345</v>
      </c>
      <c r="B187" t="s">
        <v>42</v>
      </c>
      <c r="C187">
        <v>81</v>
      </c>
      <c r="D187" t="s">
        <v>53</v>
      </c>
      <c r="E187" t="s">
        <v>14</v>
      </c>
      <c r="F187">
        <v>9</v>
      </c>
      <c r="G187">
        <v>66</v>
      </c>
      <c r="H187" t="s">
        <v>1247</v>
      </c>
      <c r="I187">
        <v>6</v>
      </c>
      <c r="J187" t="s">
        <v>2</v>
      </c>
      <c r="K187" t="s">
        <v>1248</v>
      </c>
      <c r="L187" t="str">
        <f>IFERROR(IF(VALUE(tblRace2024[[#This Row],[Position]])=1,"Yes","No"),"No")</f>
        <v>No</v>
      </c>
      <c r="M187">
        <v>2024</v>
      </c>
    </row>
    <row r="188" spans="1:13" x14ac:dyDescent="0.45">
      <c r="A188" t="s">
        <v>345</v>
      </c>
      <c r="B188" t="s">
        <v>47</v>
      </c>
      <c r="C188">
        <v>11</v>
      </c>
      <c r="D188" t="s">
        <v>955</v>
      </c>
      <c r="E188" t="s">
        <v>20</v>
      </c>
      <c r="F188">
        <v>11</v>
      </c>
      <c r="G188">
        <v>66</v>
      </c>
      <c r="H188" t="s">
        <v>1249</v>
      </c>
      <c r="I188">
        <v>4</v>
      </c>
      <c r="J188" t="s">
        <v>2</v>
      </c>
      <c r="K188" t="s">
        <v>1250</v>
      </c>
      <c r="L188" t="str">
        <f>IFERROR(IF(VALUE(tblRace2024[[#This Row],[Position]])=1,"Yes","No"),"No")</f>
        <v>No</v>
      </c>
      <c r="M188">
        <v>2024</v>
      </c>
    </row>
    <row r="189" spans="1:13" x14ac:dyDescent="0.45">
      <c r="A189" t="s">
        <v>345</v>
      </c>
      <c r="B189" t="s">
        <v>52</v>
      </c>
      <c r="C189">
        <v>10</v>
      </c>
      <c r="D189" t="s">
        <v>61</v>
      </c>
      <c r="E189" t="s">
        <v>62</v>
      </c>
      <c r="F189">
        <v>7</v>
      </c>
      <c r="G189">
        <v>66</v>
      </c>
      <c r="H189" t="s">
        <v>1251</v>
      </c>
      <c r="I189">
        <v>2</v>
      </c>
      <c r="J189" t="s">
        <v>2</v>
      </c>
      <c r="K189" t="s">
        <v>1252</v>
      </c>
      <c r="L189" t="str">
        <f>IFERROR(IF(VALUE(tblRace2024[[#This Row],[Position]])=1,"Yes","No"),"No")</f>
        <v>No</v>
      </c>
      <c r="M189">
        <v>2024</v>
      </c>
    </row>
    <row r="190" spans="1:13" x14ac:dyDescent="0.45">
      <c r="A190" t="s">
        <v>345</v>
      </c>
      <c r="B190" t="s">
        <v>56</v>
      </c>
      <c r="C190">
        <v>31</v>
      </c>
      <c r="D190" t="s">
        <v>71</v>
      </c>
      <c r="E190" t="s">
        <v>62</v>
      </c>
      <c r="F190">
        <v>8</v>
      </c>
      <c r="G190">
        <v>66</v>
      </c>
      <c r="H190" t="s">
        <v>1253</v>
      </c>
      <c r="I190">
        <v>1</v>
      </c>
      <c r="J190" t="s">
        <v>2</v>
      </c>
      <c r="K190" t="s">
        <v>1254</v>
      </c>
      <c r="L190" t="str">
        <f>IFERROR(IF(VALUE(tblRace2024[[#This Row],[Position]])=1,"Yes","No"),"No")</f>
        <v>No</v>
      </c>
      <c r="M190">
        <v>2024</v>
      </c>
    </row>
    <row r="191" spans="1:13" x14ac:dyDescent="0.45">
      <c r="A191" t="s">
        <v>345</v>
      </c>
      <c r="B191" t="s">
        <v>60</v>
      </c>
      <c r="C191">
        <v>27</v>
      </c>
      <c r="D191" t="s">
        <v>43</v>
      </c>
      <c r="E191" t="s">
        <v>72</v>
      </c>
      <c r="F191">
        <v>13</v>
      </c>
      <c r="G191">
        <v>66</v>
      </c>
      <c r="H191" t="s">
        <v>1255</v>
      </c>
      <c r="I191">
        <v>0</v>
      </c>
      <c r="J191" t="s">
        <v>2</v>
      </c>
      <c r="K191" t="s">
        <v>1256</v>
      </c>
      <c r="L191" t="str">
        <f>IFERROR(IF(VALUE(tblRace2024[[#This Row],[Position]])=1,"Yes","No"),"No")</f>
        <v>No</v>
      </c>
      <c r="M191">
        <v>2024</v>
      </c>
    </row>
    <row r="192" spans="1:13" x14ac:dyDescent="0.45">
      <c r="A192" t="s">
        <v>345</v>
      </c>
      <c r="B192" t="s">
        <v>65</v>
      </c>
      <c r="C192">
        <v>14</v>
      </c>
      <c r="D192" t="s">
        <v>85</v>
      </c>
      <c r="E192" t="s">
        <v>39</v>
      </c>
      <c r="F192">
        <v>10</v>
      </c>
      <c r="G192">
        <v>65</v>
      </c>
      <c r="H192" t="s">
        <v>118</v>
      </c>
      <c r="I192">
        <v>0</v>
      </c>
      <c r="J192" t="s">
        <v>2</v>
      </c>
      <c r="K192" t="s">
        <v>1257</v>
      </c>
      <c r="L192" t="str">
        <f>IFERROR(IF(VALUE(tblRace2024[[#This Row],[Position]])=1,"Yes","No"),"No")</f>
        <v>No</v>
      </c>
      <c r="M192">
        <v>2024</v>
      </c>
    </row>
    <row r="193" spans="1:13" x14ac:dyDescent="0.45">
      <c r="A193" t="s">
        <v>345</v>
      </c>
      <c r="B193" t="s">
        <v>70</v>
      </c>
      <c r="C193">
        <v>24</v>
      </c>
      <c r="D193" t="s">
        <v>974</v>
      </c>
      <c r="E193" t="s">
        <v>44</v>
      </c>
      <c r="F193">
        <v>15</v>
      </c>
      <c r="G193">
        <v>65</v>
      </c>
      <c r="H193" t="s">
        <v>118</v>
      </c>
      <c r="I193">
        <v>0</v>
      </c>
      <c r="J193" t="s">
        <v>2</v>
      </c>
      <c r="K193" t="s">
        <v>1258</v>
      </c>
      <c r="L193" t="str">
        <f>IFERROR(IF(VALUE(tblRace2024[[#This Row],[Position]])=1,"Yes","No"),"No")</f>
        <v>No</v>
      </c>
      <c r="M193">
        <v>2024</v>
      </c>
    </row>
    <row r="194" spans="1:13" x14ac:dyDescent="0.45">
      <c r="A194" t="s">
        <v>345</v>
      </c>
      <c r="B194" t="s">
        <v>75</v>
      </c>
      <c r="C194">
        <v>18</v>
      </c>
      <c r="D194" t="s">
        <v>38</v>
      </c>
      <c r="E194" t="s">
        <v>39</v>
      </c>
      <c r="F194">
        <v>14</v>
      </c>
      <c r="G194">
        <v>65</v>
      </c>
      <c r="H194" t="s">
        <v>118</v>
      </c>
      <c r="I194">
        <v>0</v>
      </c>
      <c r="J194" t="s">
        <v>2</v>
      </c>
      <c r="K194" t="s">
        <v>1259</v>
      </c>
      <c r="L194" t="str">
        <f>IFERROR(IF(VALUE(tblRace2024[[#This Row],[Position]])=1,"Yes","No"),"No")</f>
        <v>No</v>
      </c>
      <c r="M194">
        <v>2024</v>
      </c>
    </row>
    <row r="195" spans="1:13" x14ac:dyDescent="0.45">
      <c r="A195" t="s">
        <v>345</v>
      </c>
      <c r="B195" t="s">
        <v>120</v>
      </c>
      <c r="C195">
        <v>3</v>
      </c>
      <c r="D195" t="s">
        <v>978</v>
      </c>
      <c r="E195" t="s">
        <v>979</v>
      </c>
      <c r="F195">
        <v>18</v>
      </c>
      <c r="G195">
        <v>65</v>
      </c>
      <c r="H195" t="s">
        <v>118</v>
      </c>
      <c r="I195">
        <v>0</v>
      </c>
      <c r="J195" t="s">
        <v>2</v>
      </c>
      <c r="K195" t="s">
        <v>1260</v>
      </c>
      <c r="L195" t="str">
        <f>IFERROR(IF(VALUE(tblRace2024[[#This Row],[Position]])=1,"Yes","No"),"No")</f>
        <v>No</v>
      </c>
      <c r="M195">
        <v>2024</v>
      </c>
    </row>
    <row r="196" spans="1:13" x14ac:dyDescent="0.45">
      <c r="A196" t="s">
        <v>345</v>
      </c>
      <c r="B196" t="s">
        <v>122</v>
      </c>
      <c r="C196">
        <v>77</v>
      </c>
      <c r="D196" t="s">
        <v>986</v>
      </c>
      <c r="E196" t="s">
        <v>44</v>
      </c>
      <c r="F196">
        <v>12</v>
      </c>
      <c r="G196">
        <v>65</v>
      </c>
      <c r="H196" t="s">
        <v>118</v>
      </c>
      <c r="I196">
        <v>0</v>
      </c>
      <c r="J196" t="s">
        <v>2</v>
      </c>
      <c r="K196" t="s">
        <v>1261</v>
      </c>
      <c r="L196" t="str">
        <f>IFERROR(IF(VALUE(tblRace2024[[#This Row],[Position]])=1,"Yes","No"),"No")</f>
        <v>No</v>
      </c>
      <c r="M196">
        <v>2024</v>
      </c>
    </row>
    <row r="197" spans="1:13" x14ac:dyDescent="0.45">
      <c r="A197" t="s">
        <v>345</v>
      </c>
      <c r="B197" t="s">
        <v>163</v>
      </c>
      <c r="C197">
        <v>20</v>
      </c>
      <c r="D197" t="s">
        <v>976</v>
      </c>
      <c r="E197" t="s">
        <v>72</v>
      </c>
      <c r="F197">
        <v>16</v>
      </c>
      <c r="G197">
        <v>65</v>
      </c>
      <c r="H197" t="s">
        <v>118</v>
      </c>
      <c r="I197">
        <v>0</v>
      </c>
      <c r="J197" t="s">
        <v>2</v>
      </c>
      <c r="K197" t="s">
        <v>1262</v>
      </c>
      <c r="L197" t="str">
        <f>IFERROR(IF(VALUE(tblRace2024[[#This Row],[Position]])=1,"Yes","No"),"No")</f>
        <v>No</v>
      </c>
      <c r="M197">
        <v>2024</v>
      </c>
    </row>
    <row r="198" spans="1:13" x14ac:dyDescent="0.45">
      <c r="A198" t="s">
        <v>345</v>
      </c>
      <c r="B198" t="s">
        <v>166</v>
      </c>
      <c r="C198">
        <v>23</v>
      </c>
      <c r="D198" t="s">
        <v>33</v>
      </c>
      <c r="E198" t="s">
        <v>34</v>
      </c>
      <c r="F198">
        <v>20</v>
      </c>
      <c r="G198">
        <v>65</v>
      </c>
      <c r="H198" t="s">
        <v>118</v>
      </c>
      <c r="I198">
        <v>0</v>
      </c>
      <c r="J198" t="s">
        <v>2</v>
      </c>
      <c r="K198" t="s">
        <v>1263</v>
      </c>
      <c r="L198" t="str">
        <f>IFERROR(IF(VALUE(tblRace2024[[#This Row],[Position]])=1,"Yes","No"),"No")</f>
        <v>No</v>
      </c>
      <c r="M198">
        <v>2024</v>
      </c>
    </row>
    <row r="199" spans="1:13" x14ac:dyDescent="0.45">
      <c r="A199" t="s">
        <v>345</v>
      </c>
      <c r="B199" t="s">
        <v>169</v>
      </c>
      <c r="C199">
        <v>22</v>
      </c>
      <c r="D199" t="s">
        <v>66</v>
      </c>
      <c r="E199" t="s">
        <v>979</v>
      </c>
      <c r="F199">
        <v>17</v>
      </c>
      <c r="G199">
        <v>65</v>
      </c>
      <c r="H199" t="s">
        <v>118</v>
      </c>
      <c r="I199">
        <v>0</v>
      </c>
      <c r="J199" t="s">
        <v>2</v>
      </c>
      <c r="K199" t="s">
        <v>1264</v>
      </c>
      <c r="L199" t="str">
        <f>IFERROR(IF(VALUE(tblRace2024[[#This Row],[Position]])=1,"Yes","No"),"No")</f>
        <v>No</v>
      </c>
      <c r="M199">
        <v>2024</v>
      </c>
    </row>
    <row r="200" spans="1:13" x14ac:dyDescent="0.45">
      <c r="A200" t="s">
        <v>345</v>
      </c>
      <c r="B200" t="s">
        <v>172</v>
      </c>
      <c r="C200">
        <v>2</v>
      </c>
      <c r="D200" t="s">
        <v>988</v>
      </c>
      <c r="E200" t="s">
        <v>34</v>
      </c>
      <c r="F200">
        <v>19</v>
      </c>
      <c r="G200">
        <v>64</v>
      </c>
      <c r="H200" t="s">
        <v>331</v>
      </c>
      <c r="I200">
        <v>0</v>
      </c>
      <c r="J200" t="s">
        <v>2</v>
      </c>
      <c r="K200" t="s">
        <v>1265</v>
      </c>
      <c r="L200" t="str">
        <f>IFERROR(IF(VALUE(tblRace2024[[#This Row],[Position]])=1,"Yes","No"),"No")</f>
        <v>No</v>
      </c>
      <c r="M200">
        <v>2024</v>
      </c>
    </row>
    <row r="201" spans="1:13" hidden="1" x14ac:dyDescent="0.45">
      <c r="A201" t="s">
        <v>1266</v>
      </c>
      <c r="B201" t="s">
        <v>12</v>
      </c>
      <c r="C201">
        <v>63</v>
      </c>
      <c r="D201" t="s">
        <v>24</v>
      </c>
      <c r="E201" t="s">
        <v>25</v>
      </c>
      <c r="F201">
        <v>3</v>
      </c>
      <c r="G201">
        <v>71</v>
      </c>
      <c r="H201" t="s">
        <v>1267</v>
      </c>
      <c r="I201">
        <v>25</v>
      </c>
      <c r="J201" t="s">
        <v>2</v>
      </c>
      <c r="K201" t="s">
        <v>1268</v>
      </c>
      <c r="L201" t="str">
        <f>IFERROR(IF(VALUE(tblRace2024[[#This Row],[Position]])=1,"Yes","No"),"No")</f>
        <v>Yes</v>
      </c>
      <c r="M201">
        <v>2024</v>
      </c>
    </row>
    <row r="202" spans="1:13" hidden="1" x14ac:dyDescent="0.45">
      <c r="A202" t="s">
        <v>1266</v>
      </c>
      <c r="B202" t="s">
        <v>18</v>
      </c>
      <c r="C202">
        <v>81</v>
      </c>
      <c r="D202" t="s">
        <v>53</v>
      </c>
      <c r="E202" t="s">
        <v>14</v>
      </c>
      <c r="F202">
        <v>7</v>
      </c>
      <c r="G202">
        <v>71</v>
      </c>
      <c r="H202" t="s">
        <v>1269</v>
      </c>
      <c r="I202">
        <v>18</v>
      </c>
      <c r="J202" t="s">
        <v>2</v>
      </c>
      <c r="K202" t="s">
        <v>1270</v>
      </c>
      <c r="L202" t="str">
        <f>IFERROR(IF(VALUE(tblRace2024[[#This Row],[Position]])=1,"Yes","No"),"No")</f>
        <v>No</v>
      </c>
      <c r="M202">
        <v>2024</v>
      </c>
    </row>
    <row r="203" spans="1:13" hidden="1" x14ac:dyDescent="0.45">
      <c r="A203" t="s">
        <v>1266</v>
      </c>
      <c r="B203" t="s">
        <v>23</v>
      </c>
      <c r="C203">
        <v>55</v>
      </c>
      <c r="D203" t="s">
        <v>87</v>
      </c>
      <c r="E203" t="s">
        <v>49</v>
      </c>
      <c r="F203">
        <v>4</v>
      </c>
      <c r="G203">
        <v>71</v>
      </c>
      <c r="H203" t="s">
        <v>1271</v>
      </c>
      <c r="I203">
        <v>15</v>
      </c>
      <c r="J203" t="s">
        <v>2</v>
      </c>
      <c r="K203" t="s">
        <v>1272</v>
      </c>
      <c r="L203" t="str">
        <f>IFERROR(IF(VALUE(tblRace2024[[#This Row],[Position]])=1,"Yes","No"),"No")</f>
        <v>No</v>
      </c>
      <c r="M203">
        <v>2024</v>
      </c>
    </row>
    <row r="204" spans="1:13" hidden="1" x14ac:dyDescent="0.45">
      <c r="A204" t="s">
        <v>1266</v>
      </c>
      <c r="B204" t="s">
        <v>28</v>
      </c>
      <c r="C204">
        <v>44</v>
      </c>
      <c r="D204" t="s">
        <v>57</v>
      </c>
      <c r="E204" t="s">
        <v>25</v>
      </c>
      <c r="F204">
        <v>5</v>
      </c>
      <c r="G204">
        <v>71</v>
      </c>
      <c r="H204" t="s">
        <v>1273</v>
      </c>
      <c r="I204">
        <v>12</v>
      </c>
      <c r="J204" t="s">
        <v>2</v>
      </c>
      <c r="K204" t="s">
        <v>1274</v>
      </c>
      <c r="L204" t="str">
        <f>IFERROR(IF(VALUE(tblRace2024[[#This Row],[Position]])=1,"Yes","No"),"No")</f>
        <v>No</v>
      </c>
      <c r="M204">
        <v>2024</v>
      </c>
    </row>
    <row r="205" spans="1:13" hidden="1" x14ac:dyDescent="0.45">
      <c r="A205" t="s">
        <v>1266</v>
      </c>
      <c r="B205" t="s">
        <v>32</v>
      </c>
      <c r="C205">
        <v>1</v>
      </c>
      <c r="D205" t="s">
        <v>19</v>
      </c>
      <c r="E205" t="s">
        <v>20</v>
      </c>
      <c r="F205">
        <v>1</v>
      </c>
      <c r="G205">
        <v>71</v>
      </c>
      <c r="H205" t="s">
        <v>1275</v>
      </c>
      <c r="I205">
        <v>10</v>
      </c>
      <c r="J205" t="s">
        <v>2</v>
      </c>
      <c r="K205" t="s">
        <v>1276</v>
      </c>
      <c r="L205" t="str">
        <f>IFERROR(IF(VALUE(tblRace2024[[#This Row],[Position]])=1,"Yes","No"),"No")</f>
        <v>No</v>
      </c>
      <c r="M205">
        <v>2024</v>
      </c>
    </row>
    <row r="206" spans="1:13" hidden="1" x14ac:dyDescent="0.45">
      <c r="A206" t="s">
        <v>1266</v>
      </c>
      <c r="B206" t="s">
        <v>37</v>
      </c>
      <c r="C206">
        <v>27</v>
      </c>
      <c r="D206" t="s">
        <v>43</v>
      </c>
      <c r="E206" t="s">
        <v>72</v>
      </c>
      <c r="F206">
        <v>9</v>
      </c>
      <c r="G206">
        <v>71</v>
      </c>
      <c r="H206" t="s">
        <v>1277</v>
      </c>
      <c r="I206">
        <v>8</v>
      </c>
      <c r="J206" t="s">
        <v>2</v>
      </c>
      <c r="K206" t="s">
        <v>1278</v>
      </c>
      <c r="L206" t="str">
        <f>IFERROR(IF(VALUE(tblRace2024[[#This Row],[Position]])=1,"Yes","No"),"No")</f>
        <v>No</v>
      </c>
      <c r="M206">
        <v>2024</v>
      </c>
    </row>
    <row r="207" spans="1:13" hidden="1" x14ac:dyDescent="0.45">
      <c r="A207" t="s">
        <v>1266</v>
      </c>
      <c r="B207" t="s">
        <v>42</v>
      </c>
      <c r="C207">
        <v>11</v>
      </c>
      <c r="D207" t="s">
        <v>955</v>
      </c>
      <c r="E207" t="s">
        <v>20</v>
      </c>
      <c r="F207">
        <v>8</v>
      </c>
      <c r="G207">
        <v>71</v>
      </c>
      <c r="H207" t="s">
        <v>1279</v>
      </c>
      <c r="I207">
        <v>6</v>
      </c>
      <c r="J207" t="s">
        <v>2</v>
      </c>
      <c r="K207" t="s">
        <v>1280</v>
      </c>
      <c r="L207" t="str">
        <f>IFERROR(IF(VALUE(tblRace2024[[#This Row],[Position]])=1,"Yes","No"),"No")</f>
        <v>No</v>
      </c>
      <c r="M207">
        <v>2024</v>
      </c>
    </row>
    <row r="208" spans="1:13" hidden="1" x14ac:dyDescent="0.45">
      <c r="A208" t="s">
        <v>1266</v>
      </c>
      <c r="B208" t="s">
        <v>47</v>
      </c>
      <c r="C208">
        <v>20</v>
      </c>
      <c r="D208" t="s">
        <v>976</v>
      </c>
      <c r="E208" t="s">
        <v>72</v>
      </c>
      <c r="F208">
        <v>12</v>
      </c>
      <c r="G208">
        <v>71</v>
      </c>
      <c r="H208" t="s">
        <v>1281</v>
      </c>
      <c r="I208">
        <v>4</v>
      </c>
      <c r="J208" t="s">
        <v>2</v>
      </c>
      <c r="K208" t="s">
        <v>1282</v>
      </c>
      <c r="L208" t="str">
        <f>IFERROR(IF(VALUE(tblRace2024[[#This Row],[Position]])=1,"Yes","No"),"No")</f>
        <v>No</v>
      </c>
      <c r="M208">
        <v>2024</v>
      </c>
    </row>
    <row r="209" spans="1:13" hidden="1" x14ac:dyDescent="0.45">
      <c r="A209" t="s">
        <v>1266</v>
      </c>
      <c r="B209" t="s">
        <v>52</v>
      </c>
      <c r="C209">
        <v>3</v>
      </c>
      <c r="D209" t="s">
        <v>978</v>
      </c>
      <c r="E209" t="s">
        <v>979</v>
      </c>
      <c r="F209">
        <v>11</v>
      </c>
      <c r="G209">
        <v>71</v>
      </c>
      <c r="H209" t="s">
        <v>1283</v>
      </c>
      <c r="I209">
        <v>2</v>
      </c>
      <c r="J209" t="s">
        <v>2</v>
      </c>
      <c r="K209" t="s">
        <v>1284</v>
      </c>
      <c r="L209" t="str">
        <f>IFERROR(IF(VALUE(tblRace2024[[#This Row],[Position]])=1,"Yes","No"),"No")</f>
        <v>No</v>
      </c>
      <c r="M209">
        <v>2024</v>
      </c>
    </row>
    <row r="210" spans="1:13" hidden="1" x14ac:dyDescent="0.45">
      <c r="A210" t="s">
        <v>1266</v>
      </c>
      <c r="B210" t="s">
        <v>56</v>
      </c>
      <c r="C210">
        <v>10</v>
      </c>
      <c r="D210" t="s">
        <v>61</v>
      </c>
      <c r="E210" t="s">
        <v>62</v>
      </c>
      <c r="F210">
        <v>13</v>
      </c>
      <c r="G210">
        <v>71</v>
      </c>
      <c r="H210" t="s">
        <v>1285</v>
      </c>
      <c r="I210">
        <v>1</v>
      </c>
      <c r="J210" t="s">
        <v>2</v>
      </c>
      <c r="K210" t="s">
        <v>1286</v>
      </c>
      <c r="L210" t="str">
        <f>IFERROR(IF(VALUE(tblRace2024[[#This Row],[Position]])=1,"Yes","No"),"No")</f>
        <v>No</v>
      </c>
      <c r="M210">
        <v>2024</v>
      </c>
    </row>
    <row r="211" spans="1:13" hidden="1" x14ac:dyDescent="0.45">
      <c r="A211" t="s">
        <v>1266</v>
      </c>
      <c r="B211" t="s">
        <v>60</v>
      </c>
      <c r="C211">
        <v>16</v>
      </c>
      <c r="D211" t="s">
        <v>48</v>
      </c>
      <c r="E211" t="s">
        <v>49</v>
      </c>
      <c r="F211">
        <v>6</v>
      </c>
      <c r="G211">
        <v>71</v>
      </c>
      <c r="H211" t="s">
        <v>1287</v>
      </c>
      <c r="I211">
        <v>0</v>
      </c>
      <c r="J211" t="s">
        <v>2</v>
      </c>
      <c r="K211" t="s">
        <v>1288</v>
      </c>
      <c r="L211" t="str">
        <f>IFERROR(IF(VALUE(tblRace2024[[#This Row],[Position]])=1,"Yes","No"),"No")</f>
        <v>No</v>
      </c>
      <c r="M211">
        <v>2024</v>
      </c>
    </row>
    <row r="212" spans="1:13" hidden="1" x14ac:dyDescent="0.45">
      <c r="A212" t="s">
        <v>1266</v>
      </c>
      <c r="B212" t="s">
        <v>65</v>
      </c>
      <c r="C212">
        <v>31</v>
      </c>
      <c r="D212" t="s">
        <v>71</v>
      </c>
      <c r="E212" t="s">
        <v>62</v>
      </c>
      <c r="F212">
        <v>10</v>
      </c>
      <c r="G212">
        <v>71</v>
      </c>
      <c r="H212" t="s">
        <v>1289</v>
      </c>
      <c r="I212">
        <v>0</v>
      </c>
      <c r="J212" t="s">
        <v>2</v>
      </c>
      <c r="K212" t="s">
        <v>1290</v>
      </c>
      <c r="L212" t="str">
        <f>IFERROR(IF(VALUE(tblRace2024[[#This Row],[Position]])=1,"Yes","No"),"No")</f>
        <v>No</v>
      </c>
      <c r="M212">
        <v>2024</v>
      </c>
    </row>
    <row r="213" spans="1:13" hidden="1" x14ac:dyDescent="0.45">
      <c r="A213" t="s">
        <v>1266</v>
      </c>
      <c r="B213" t="s">
        <v>70</v>
      </c>
      <c r="C213">
        <v>18</v>
      </c>
      <c r="D213" t="s">
        <v>38</v>
      </c>
      <c r="E213" t="s">
        <v>39</v>
      </c>
      <c r="F213">
        <v>17</v>
      </c>
      <c r="G213">
        <v>70</v>
      </c>
      <c r="H213" t="s">
        <v>118</v>
      </c>
      <c r="I213">
        <v>0</v>
      </c>
      <c r="J213" t="s">
        <v>2</v>
      </c>
      <c r="K213" t="s">
        <v>1291</v>
      </c>
      <c r="L213" t="str">
        <f>IFERROR(IF(VALUE(tblRace2024[[#This Row],[Position]])=1,"Yes","No"),"No")</f>
        <v>No</v>
      </c>
      <c r="M213">
        <v>2024</v>
      </c>
    </row>
    <row r="214" spans="1:13" hidden="1" x14ac:dyDescent="0.45">
      <c r="A214" t="s">
        <v>1266</v>
      </c>
      <c r="B214" t="s">
        <v>75</v>
      </c>
      <c r="C214">
        <v>22</v>
      </c>
      <c r="D214" t="s">
        <v>66</v>
      </c>
      <c r="E214" t="s">
        <v>979</v>
      </c>
      <c r="F214">
        <v>14</v>
      </c>
      <c r="G214">
        <v>70</v>
      </c>
      <c r="H214" t="s">
        <v>118</v>
      </c>
      <c r="I214">
        <v>0</v>
      </c>
      <c r="J214" t="s">
        <v>2</v>
      </c>
      <c r="K214" t="s">
        <v>1292</v>
      </c>
      <c r="L214" t="str">
        <f>IFERROR(IF(VALUE(tblRace2024[[#This Row],[Position]])=1,"Yes","No"),"No")</f>
        <v>No</v>
      </c>
      <c r="M214">
        <v>2024</v>
      </c>
    </row>
    <row r="215" spans="1:13" hidden="1" x14ac:dyDescent="0.45">
      <c r="A215" t="s">
        <v>1266</v>
      </c>
      <c r="B215" t="s">
        <v>120</v>
      </c>
      <c r="C215">
        <v>23</v>
      </c>
      <c r="D215" t="s">
        <v>33</v>
      </c>
      <c r="E215" t="s">
        <v>34</v>
      </c>
      <c r="F215">
        <v>16</v>
      </c>
      <c r="G215">
        <v>70</v>
      </c>
      <c r="H215" t="s">
        <v>118</v>
      </c>
      <c r="I215">
        <v>0</v>
      </c>
      <c r="J215" t="s">
        <v>2</v>
      </c>
      <c r="K215" t="s">
        <v>1293</v>
      </c>
      <c r="L215" t="str">
        <f>IFERROR(IF(VALUE(tblRace2024[[#This Row],[Position]])=1,"Yes","No"),"No")</f>
        <v>No</v>
      </c>
      <c r="M215">
        <v>2024</v>
      </c>
    </row>
    <row r="216" spans="1:13" hidden="1" x14ac:dyDescent="0.45">
      <c r="A216" t="s">
        <v>1266</v>
      </c>
      <c r="B216" t="s">
        <v>122</v>
      </c>
      <c r="C216">
        <v>77</v>
      </c>
      <c r="D216" t="s">
        <v>986</v>
      </c>
      <c r="E216" t="s">
        <v>44</v>
      </c>
      <c r="F216">
        <v>18</v>
      </c>
      <c r="G216">
        <v>70</v>
      </c>
      <c r="H216" t="s">
        <v>118</v>
      </c>
      <c r="I216">
        <v>0</v>
      </c>
      <c r="J216" t="s">
        <v>2</v>
      </c>
      <c r="K216" t="s">
        <v>1294</v>
      </c>
      <c r="L216" t="str">
        <f>IFERROR(IF(VALUE(tblRace2024[[#This Row],[Position]])=1,"Yes","No"),"No")</f>
        <v>No</v>
      </c>
      <c r="M216">
        <v>2024</v>
      </c>
    </row>
    <row r="217" spans="1:13" hidden="1" x14ac:dyDescent="0.45">
      <c r="A217" t="s">
        <v>1266</v>
      </c>
      <c r="B217" t="s">
        <v>163</v>
      </c>
      <c r="C217">
        <v>24</v>
      </c>
      <c r="D217" t="s">
        <v>974</v>
      </c>
      <c r="E217" t="s">
        <v>44</v>
      </c>
      <c r="F217">
        <v>20</v>
      </c>
      <c r="G217">
        <v>70</v>
      </c>
      <c r="H217" t="s">
        <v>118</v>
      </c>
      <c r="I217">
        <v>0</v>
      </c>
      <c r="J217" t="s">
        <v>2</v>
      </c>
      <c r="K217" t="s">
        <v>1295</v>
      </c>
      <c r="L217" t="str">
        <f>IFERROR(IF(VALUE(tblRace2024[[#This Row],[Position]])=1,"Yes","No"),"No")</f>
        <v>No</v>
      </c>
      <c r="M217">
        <v>2024</v>
      </c>
    </row>
    <row r="218" spans="1:13" hidden="1" x14ac:dyDescent="0.45">
      <c r="A218" t="s">
        <v>1266</v>
      </c>
      <c r="B218" t="s">
        <v>166</v>
      </c>
      <c r="C218">
        <v>14</v>
      </c>
      <c r="D218" t="s">
        <v>85</v>
      </c>
      <c r="E218" t="s">
        <v>39</v>
      </c>
      <c r="F218">
        <v>15</v>
      </c>
      <c r="G218">
        <v>70</v>
      </c>
      <c r="H218" t="s">
        <v>118</v>
      </c>
      <c r="I218">
        <v>0</v>
      </c>
      <c r="J218" t="s">
        <v>16</v>
      </c>
      <c r="K218" t="s">
        <v>1296</v>
      </c>
      <c r="L218" t="str">
        <f>IFERROR(IF(VALUE(tblRace2024[[#This Row],[Position]])=1,"Yes","No"),"No")</f>
        <v>No</v>
      </c>
      <c r="M218">
        <v>2024</v>
      </c>
    </row>
    <row r="219" spans="1:13" hidden="1" x14ac:dyDescent="0.45">
      <c r="A219" t="s">
        <v>1266</v>
      </c>
      <c r="B219" t="s">
        <v>169</v>
      </c>
      <c r="C219">
        <v>2</v>
      </c>
      <c r="D219" t="s">
        <v>988</v>
      </c>
      <c r="E219" t="s">
        <v>34</v>
      </c>
      <c r="F219">
        <v>19</v>
      </c>
      <c r="G219">
        <v>69</v>
      </c>
      <c r="H219" t="s">
        <v>331</v>
      </c>
      <c r="I219">
        <v>0</v>
      </c>
      <c r="J219" t="s">
        <v>2</v>
      </c>
      <c r="K219" t="s">
        <v>1297</v>
      </c>
      <c r="L219" t="str">
        <f>IFERROR(IF(VALUE(tblRace2024[[#This Row],[Position]])=1,"Yes","No"),"No")</f>
        <v>No</v>
      </c>
      <c r="M219">
        <v>2024</v>
      </c>
    </row>
    <row r="220" spans="1:13" hidden="1" x14ac:dyDescent="0.45">
      <c r="A220" t="s">
        <v>1266</v>
      </c>
      <c r="B220" t="s">
        <v>172</v>
      </c>
      <c r="C220">
        <v>4</v>
      </c>
      <c r="D220" t="s">
        <v>13</v>
      </c>
      <c r="E220" t="s">
        <v>14</v>
      </c>
      <c r="F220">
        <v>2</v>
      </c>
      <c r="G220">
        <v>64</v>
      </c>
      <c r="H220" t="s">
        <v>1298</v>
      </c>
      <c r="I220">
        <v>0</v>
      </c>
      <c r="J220" t="s">
        <v>2</v>
      </c>
      <c r="K220" t="s">
        <v>1299</v>
      </c>
      <c r="L220" t="str">
        <f>IFERROR(IF(VALUE(tblRace2024[[#This Row],[Position]])=1,"Yes","No"),"No")</f>
        <v>No</v>
      </c>
      <c r="M220">
        <v>2024</v>
      </c>
    </row>
    <row r="221" spans="1:13" hidden="1" x14ac:dyDescent="0.45">
      <c r="A221" t="s">
        <v>1300</v>
      </c>
      <c r="B221" t="s">
        <v>12</v>
      </c>
      <c r="C221">
        <v>44</v>
      </c>
      <c r="D221" t="s">
        <v>57</v>
      </c>
      <c r="E221" t="s">
        <v>25</v>
      </c>
      <c r="F221">
        <v>2</v>
      </c>
      <c r="G221">
        <v>52</v>
      </c>
      <c r="H221" t="s">
        <v>1301</v>
      </c>
      <c r="I221">
        <v>25</v>
      </c>
      <c r="J221" t="s">
        <v>2</v>
      </c>
      <c r="K221" t="s">
        <v>1302</v>
      </c>
      <c r="L221" t="str">
        <f>IFERROR(IF(VALUE(tblRace2024[[#This Row],[Position]])=1,"Yes","No"),"No")</f>
        <v>Yes</v>
      </c>
      <c r="M221">
        <v>2024</v>
      </c>
    </row>
    <row r="222" spans="1:13" hidden="1" x14ac:dyDescent="0.45">
      <c r="A222" t="s">
        <v>1300</v>
      </c>
      <c r="B222" t="s">
        <v>18</v>
      </c>
      <c r="C222">
        <v>1</v>
      </c>
      <c r="D222" t="s">
        <v>19</v>
      </c>
      <c r="E222" t="s">
        <v>20</v>
      </c>
      <c r="F222">
        <v>4</v>
      </c>
      <c r="G222">
        <v>52</v>
      </c>
      <c r="H222" t="s">
        <v>1303</v>
      </c>
      <c r="I222">
        <v>18</v>
      </c>
      <c r="J222" t="s">
        <v>2</v>
      </c>
      <c r="K222" t="s">
        <v>1304</v>
      </c>
      <c r="L222" t="str">
        <f>IFERROR(IF(VALUE(tblRace2024[[#This Row],[Position]])=1,"Yes","No"),"No")</f>
        <v>No</v>
      </c>
      <c r="M222">
        <v>2024</v>
      </c>
    </row>
    <row r="223" spans="1:13" hidden="1" x14ac:dyDescent="0.45">
      <c r="A223" t="s">
        <v>1300</v>
      </c>
      <c r="B223" t="s">
        <v>23</v>
      </c>
      <c r="C223">
        <v>4</v>
      </c>
      <c r="D223" t="s">
        <v>13</v>
      </c>
      <c r="E223" t="s">
        <v>14</v>
      </c>
      <c r="F223">
        <v>3</v>
      </c>
      <c r="G223">
        <v>52</v>
      </c>
      <c r="H223" t="s">
        <v>1305</v>
      </c>
      <c r="I223">
        <v>15</v>
      </c>
      <c r="J223" t="s">
        <v>2</v>
      </c>
      <c r="K223" t="s">
        <v>1306</v>
      </c>
      <c r="L223" t="str">
        <f>IFERROR(IF(VALUE(tblRace2024[[#This Row],[Position]])=1,"Yes","No"),"No")</f>
        <v>No</v>
      </c>
      <c r="M223">
        <v>2024</v>
      </c>
    </row>
    <row r="224" spans="1:13" hidden="1" x14ac:dyDescent="0.45">
      <c r="A224" t="s">
        <v>1300</v>
      </c>
      <c r="B224" t="s">
        <v>28</v>
      </c>
      <c r="C224">
        <v>81</v>
      </c>
      <c r="D224" t="s">
        <v>53</v>
      </c>
      <c r="E224" t="s">
        <v>14</v>
      </c>
      <c r="F224">
        <v>5</v>
      </c>
      <c r="G224">
        <v>52</v>
      </c>
      <c r="H224" t="s">
        <v>1307</v>
      </c>
      <c r="I224">
        <v>12</v>
      </c>
      <c r="J224" t="s">
        <v>2</v>
      </c>
      <c r="K224" t="s">
        <v>1308</v>
      </c>
      <c r="L224" t="str">
        <f>IFERROR(IF(VALUE(tblRace2024[[#This Row],[Position]])=1,"Yes","No"),"No")</f>
        <v>No</v>
      </c>
      <c r="M224">
        <v>2024</v>
      </c>
    </row>
    <row r="225" spans="1:13" hidden="1" x14ac:dyDescent="0.45">
      <c r="A225" t="s">
        <v>1300</v>
      </c>
      <c r="B225" t="s">
        <v>32</v>
      </c>
      <c r="C225">
        <v>55</v>
      </c>
      <c r="D225" t="s">
        <v>87</v>
      </c>
      <c r="E225" t="s">
        <v>49</v>
      </c>
      <c r="F225">
        <v>7</v>
      </c>
      <c r="G225">
        <v>52</v>
      </c>
      <c r="H225" t="s">
        <v>1309</v>
      </c>
      <c r="I225">
        <v>11</v>
      </c>
      <c r="J225" t="s">
        <v>16</v>
      </c>
      <c r="K225" t="s">
        <v>1310</v>
      </c>
      <c r="L225" t="str">
        <f>IFERROR(IF(VALUE(tblRace2024[[#This Row],[Position]])=1,"Yes","No"),"No")</f>
        <v>No</v>
      </c>
      <c r="M225">
        <v>2024</v>
      </c>
    </row>
    <row r="226" spans="1:13" hidden="1" x14ac:dyDescent="0.45">
      <c r="A226" t="s">
        <v>1300</v>
      </c>
      <c r="B226" t="s">
        <v>37</v>
      </c>
      <c r="C226">
        <v>27</v>
      </c>
      <c r="D226" t="s">
        <v>43</v>
      </c>
      <c r="E226" t="s">
        <v>72</v>
      </c>
      <c r="F226">
        <v>6</v>
      </c>
      <c r="G226">
        <v>52</v>
      </c>
      <c r="H226" t="s">
        <v>1311</v>
      </c>
      <c r="I226">
        <v>8</v>
      </c>
      <c r="J226" t="s">
        <v>2</v>
      </c>
      <c r="K226" t="s">
        <v>1312</v>
      </c>
      <c r="L226" t="str">
        <f>IFERROR(IF(VALUE(tblRace2024[[#This Row],[Position]])=1,"Yes","No"),"No")</f>
        <v>No</v>
      </c>
      <c r="M226">
        <v>2024</v>
      </c>
    </row>
    <row r="227" spans="1:13" hidden="1" x14ac:dyDescent="0.45">
      <c r="A227" t="s">
        <v>1300</v>
      </c>
      <c r="B227" t="s">
        <v>42</v>
      </c>
      <c r="C227">
        <v>18</v>
      </c>
      <c r="D227" t="s">
        <v>38</v>
      </c>
      <c r="E227" t="s">
        <v>39</v>
      </c>
      <c r="F227">
        <v>8</v>
      </c>
      <c r="G227">
        <v>52</v>
      </c>
      <c r="H227" t="s">
        <v>1313</v>
      </c>
      <c r="I227">
        <v>6</v>
      </c>
      <c r="J227" t="s">
        <v>2</v>
      </c>
      <c r="K227" t="s">
        <v>1314</v>
      </c>
      <c r="L227" t="str">
        <f>IFERROR(IF(VALUE(tblRace2024[[#This Row],[Position]])=1,"Yes","No"),"No")</f>
        <v>No</v>
      </c>
      <c r="M227">
        <v>2024</v>
      </c>
    </row>
    <row r="228" spans="1:13" hidden="1" x14ac:dyDescent="0.45">
      <c r="A228" t="s">
        <v>1300</v>
      </c>
      <c r="B228" t="s">
        <v>47</v>
      </c>
      <c r="C228">
        <v>14</v>
      </c>
      <c r="D228" t="s">
        <v>85</v>
      </c>
      <c r="E228" t="s">
        <v>39</v>
      </c>
      <c r="F228">
        <v>10</v>
      </c>
      <c r="G228">
        <v>52</v>
      </c>
      <c r="H228" t="s">
        <v>1315</v>
      </c>
      <c r="I228">
        <v>4</v>
      </c>
      <c r="J228" t="s">
        <v>2</v>
      </c>
      <c r="K228" t="s">
        <v>1316</v>
      </c>
      <c r="L228" t="str">
        <f>IFERROR(IF(VALUE(tblRace2024[[#This Row],[Position]])=1,"Yes","No"),"No")</f>
        <v>No</v>
      </c>
      <c r="M228">
        <v>2024</v>
      </c>
    </row>
    <row r="229" spans="1:13" hidden="1" x14ac:dyDescent="0.45">
      <c r="A229" t="s">
        <v>1300</v>
      </c>
      <c r="B229" t="s">
        <v>52</v>
      </c>
      <c r="C229">
        <v>23</v>
      </c>
      <c r="D229" t="s">
        <v>33</v>
      </c>
      <c r="E229" t="s">
        <v>34</v>
      </c>
      <c r="F229">
        <v>9</v>
      </c>
      <c r="G229">
        <v>52</v>
      </c>
      <c r="H229" t="s">
        <v>1317</v>
      </c>
      <c r="I229">
        <v>2</v>
      </c>
      <c r="J229" t="s">
        <v>2</v>
      </c>
      <c r="K229" t="s">
        <v>1318</v>
      </c>
      <c r="L229" t="str">
        <f>IFERROR(IF(VALUE(tblRace2024[[#This Row],[Position]])=1,"Yes","No"),"No")</f>
        <v>No</v>
      </c>
      <c r="M229">
        <v>2024</v>
      </c>
    </row>
    <row r="230" spans="1:13" hidden="1" x14ac:dyDescent="0.45">
      <c r="A230" t="s">
        <v>1300</v>
      </c>
      <c r="B230" t="s">
        <v>56</v>
      </c>
      <c r="C230">
        <v>22</v>
      </c>
      <c r="D230" t="s">
        <v>66</v>
      </c>
      <c r="E230" t="s">
        <v>979</v>
      </c>
      <c r="F230">
        <v>13</v>
      </c>
      <c r="G230">
        <v>52</v>
      </c>
      <c r="H230" t="s">
        <v>1319</v>
      </c>
      <c r="I230">
        <v>1</v>
      </c>
      <c r="J230" t="s">
        <v>2</v>
      </c>
      <c r="K230" t="s">
        <v>1320</v>
      </c>
      <c r="L230" t="str">
        <f>IFERROR(IF(VALUE(tblRace2024[[#This Row],[Position]])=1,"Yes","No"),"No")</f>
        <v>No</v>
      </c>
      <c r="M230">
        <v>2024</v>
      </c>
    </row>
    <row r="231" spans="1:13" hidden="1" x14ac:dyDescent="0.45">
      <c r="A231" t="s">
        <v>1300</v>
      </c>
      <c r="B231" t="s">
        <v>60</v>
      </c>
      <c r="C231">
        <v>2</v>
      </c>
      <c r="D231" t="s">
        <v>988</v>
      </c>
      <c r="E231" t="s">
        <v>34</v>
      </c>
      <c r="F231">
        <v>12</v>
      </c>
      <c r="G231">
        <v>52</v>
      </c>
      <c r="H231" t="s">
        <v>1321</v>
      </c>
      <c r="I231">
        <v>0</v>
      </c>
      <c r="J231" t="s">
        <v>2</v>
      </c>
      <c r="K231" t="s">
        <v>1322</v>
      </c>
      <c r="L231" t="str">
        <f>IFERROR(IF(VALUE(tblRace2024[[#This Row],[Position]])=1,"Yes","No"),"No")</f>
        <v>No</v>
      </c>
      <c r="M231">
        <v>2024</v>
      </c>
    </row>
    <row r="232" spans="1:13" hidden="1" x14ac:dyDescent="0.45">
      <c r="A232" t="s">
        <v>1300</v>
      </c>
      <c r="B232" t="s">
        <v>65</v>
      </c>
      <c r="C232">
        <v>20</v>
      </c>
      <c r="D232" t="s">
        <v>976</v>
      </c>
      <c r="E232" t="s">
        <v>72</v>
      </c>
      <c r="F232">
        <v>17</v>
      </c>
      <c r="G232">
        <v>52</v>
      </c>
      <c r="H232" t="s">
        <v>1323</v>
      </c>
      <c r="I232">
        <v>0</v>
      </c>
      <c r="J232" t="s">
        <v>2</v>
      </c>
      <c r="K232" t="s">
        <v>1324</v>
      </c>
      <c r="L232" t="str">
        <f>IFERROR(IF(VALUE(tblRace2024[[#This Row],[Position]])=1,"Yes","No"),"No")</f>
        <v>No</v>
      </c>
      <c r="M232">
        <v>2024</v>
      </c>
    </row>
    <row r="233" spans="1:13" hidden="1" x14ac:dyDescent="0.45">
      <c r="A233" t="s">
        <v>1300</v>
      </c>
      <c r="B233" t="s">
        <v>70</v>
      </c>
      <c r="C233">
        <v>3</v>
      </c>
      <c r="D233" t="s">
        <v>978</v>
      </c>
      <c r="E233" t="s">
        <v>979</v>
      </c>
      <c r="F233">
        <v>15</v>
      </c>
      <c r="G233">
        <v>51</v>
      </c>
      <c r="H233" t="s">
        <v>118</v>
      </c>
      <c r="I233">
        <v>0</v>
      </c>
      <c r="J233" t="s">
        <v>2</v>
      </c>
      <c r="K233" t="s">
        <v>1325</v>
      </c>
      <c r="L233" t="str">
        <f>IFERROR(IF(VALUE(tblRace2024[[#This Row],[Position]])=1,"Yes","No"),"No")</f>
        <v>No</v>
      </c>
      <c r="M233">
        <v>2024</v>
      </c>
    </row>
    <row r="234" spans="1:13" hidden="1" x14ac:dyDescent="0.45">
      <c r="A234" t="s">
        <v>1300</v>
      </c>
      <c r="B234" t="s">
        <v>75</v>
      </c>
      <c r="C234">
        <v>16</v>
      </c>
      <c r="D234" t="s">
        <v>48</v>
      </c>
      <c r="E234" t="s">
        <v>49</v>
      </c>
      <c r="F234">
        <v>11</v>
      </c>
      <c r="G234">
        <v>51</v>
      </c>
      <c r="H234" t="s">
        <v>118</v>
      </c>
      <c r="I234">
        <v>0</v>
      </c>
      <c r="J234" t="s">
        <v>2</v>
      </c>
      <c r="K234" t="s">
        <v>1326</v>
      </c>
      <c r="L234" t="str">
        <f>IFERROR(IF(VALUE(tblRace2024[[#This Row],[Position]])=1,"Yes","No"),"No")</f>
        <v>No</v>
      </c>
      <c r="M234">
        <v>2024</v>
      </c>
    </row>
    <row r="235" spans="1:13" hidden="1" x14ac:dyDescent="0.45">
      <c r="A235" t="s">
        <v>1300</v>
      </c>
      <c r="B235" t="s">
        <v>120</v>
      </c>
      <c r="C235">
        <v>77</v>
      </c>
      <c r="D235" t="s">
        <v>986</v>
      </c>
      <c r="E235" t="s">
        <v>44</v>
      </c>
      <c r="F235">
        <v>16</v>
      </c>
      <c r="G235">
        <v>51</v>
      </c>
      <c r="H235" t="s">
        <v>118</v>
      </c>
      <c r="I235">
        <v>0</v>
      </c>
      <c r="J235" t="s">
        <v>2</v>
      </c>
      <c r="K235" t="s">
        <v>1327</v>
      </c>
      <c r="L235" t="str">
        <f>IFERROR(IF(VALUE(tblRace2024[[#This Row],[Position]])=1,"Yes","No"),"No")</f>
        <v>No</v>
      </c>
      <c r="M235">
        <v>2024</v>
      </c>
    </row>
    <row r="236" spans="1:13" hidden="1" x14ac:dyDescent="0.45">
      <c r="A236" t="s">
        <v>1300</v>
      </c>
      <c r="B236" t="s">
        <v>122</v>
      </c>
      <c r="C236">
        <v>31</v>
      </c>
      <c r="D236" t="s">
        <v>71</v>
      </c>
      <c r="E236" t="s">
        <v>62</v>
      </c>
      <c r="F236">
        <v>18</v>
      </c>
      <c r="G236">
        <v>50</v>
      </c>
      <c r="H236" t="s">
        <v>331</v>
      </c>
      <c r="I236">
        <v>0</v>
      </c>
      <c r="J236" t="s">
        <v>2</v>
      </c>
      <c r="K236" t="s">
        <v>1328</v>
      </c>
      <c r="L236" t="str">
        <f>IFERROR(IF(VALUE(tblRace2024[[#This Row],[Position]])=1,"Yes","No"),"No")</f>
        <v>No</v>
      </c>
      <c r="M236">
        <v>2024</v>
      </c>
    </row>
    <row r="237" spans="1:13" hidden="1" x14ac:dyDescent="0.45">
      <c r="A237" t="s">
        <v>1300</v>
      </c>
      <c r="B237" t="s">
        <v>163</v>
      </c>
      <c r="C237">
        <v>11</v>
      </c>
      <c r="D237" t="s">
        <v>955</v>
      </c>
      <c r="E237" t="s">
        <v>20</v>
      </c>
      <c r="F237">
        <v>20</v>
      </c>
      <c r="G237">
        <v>50</v>
      </c>
      <c r="H237" t="s">
        <v>331</v>
      </c>
      <c r="I237">
        <v>0</v>
      </c>
      <c r="J237" t="s">
        <v>2</v>
      </c>
      <c r="K237" t="s">
        <v>1329</v>
      </c>
      <c r="L237" t="str">
        <f>IFERROR(IF(VALUE(tblRace2024[[#This Row],[Position]])=1,"Yes","No"),"No")</f>
        <v>No</v>
      </c>
      <c r="M237">
        <v>2024</v>
      </c>
    </row>
    <row r="238" spans="1:13" hidden="1" x14ac:dyDescent="0.45">
      <c r="A238" t="s">
        <v>1300</v>
      </c>
      <c r="B238" t="s">
        <v>166</v>
      </c>
      <c r="C238">
        <v>24</v>
      </c>
      <c r="D238" t="s">
        <v>974</v>
      </c>
      <c r="E238" t="s">
        <v>44</v>
      </c>
      <c r="F238">
        <v>14</v>
      </c>
      <c r="G238">
        <v>50</v>
      </c>
      <c r="H238" t="s">
        <v>331</v>
      </c>
      <c r="I238">
        <v>0</v>
      </c>
      <c r="J238" t="s">
        <v>2</v>
      </c>
      <c r="K238" t="s">
        <v>1330</v>
      </c>
      <c r="L238" t="str">
        <f>IFERROR(IF(VALUE(tblRace2024[[#This Row],[Position]])=1,"Yes","No"),"No")</f>
        <v>No</v>
      </c>
      <c r="M238">
        <v>2024</v>
      </c>
    </row>
    <row r="239" spans="1:13" hidden="1" x14ac:dyDescent="0.45">
      <c r="A239" t="s">
        <v>1300</v>
      </c>
      <c r="B239" t="s">
        <v>79</v>
      </c>
      <c r="C239">
        <v>63</v>
      </c>
      <c r="D239" t="s">
        <v>24</v>
      </c>
      <c r="E239" t="s">
        <v>25</v>
      </c>
      <c r="F239">
        <v>1</v>
      </c>
      <c r="G239">
        <v>33</v>
      </c>
      <c r="H239" t="s">
        <v>81</v>
      </c>
      <c r="I239">
        <v>0</v>
      </c>
      <c r="J239" t="s">
        <v>2</v>
      </c>
      <c r="K239" t="s">
        <v>1331</v>
      </c>
      <c r="L239" t="str">
        <f>IFERROR(IF(VALUE(tblRace2024[[#This Row],[Position]])=1,"Yes","No"),"No")</f>
        <v>No</v>
      </c>
      <c r="M239">
        <v>2024</v>
      </c>
    </row>
    <row r="240" spans="1:13" hidden="1" x14ac:dyDescent="0.45">
      <c r="A240" t="s">
        <v>1300</v>
      </c>
      <c r="B240" t="s">
        <v>79</v>
      </c>
      <c r="C240">
        <v>10</v>
      </c>
      <c r="D240" t="s">
        <v>61</v>
      </c>
      <c r="E240" t="s">
        <v>62</v>
      </c>
      <c r="F240">
        <v>19</v>
      </c>
      <c r="G240">
        <v>0</v>
      </c>
      <c r="H240" t="s">
        <v>428</v>
      </c>
      <c r="I240">
        <v>0</v>
      </c>
      <c r="J240" t="s">
        <v>2</v>
      </c>
      <c r="K240" t="s">
        <v>88</v>
      </c>
      <c r="L240" t="str">
        <f>IFERROR(IF(VALUE(tblRace2024[[#This Row],[Position]])=1,"Yes","No"),"No")</f>
        <v>No</v>
      </c>
      <c r="M240">
        <v>2024</v>
      </c>
    </row>
    <row r="241" spans="1:13" hidden="1" x14ac:dyDescent="0.45">
      <c r="A241" t="s">
        <v>1332</v>
      </c>
      <c r="B241" t="s">
        <v>12</v>
      </c>
      <c r="C241">
        <v>81</v>
      </c>
      <c r="D241" t="s">
        <v>53</v>
      </c>
      <c r="E241" t="s">
        <v>14</v>
      </c>
      <c r="F241">
        <v>2</v>
      </c>
      <c r="G241">
        <v>70</v>
      </c>
      <c r="H241" t="s">
        <v>1333</v>
      </c>
      <c r="I241">
        <v>25</v>
      </c>
      <c r="J241" t="s">
        <v>2</v>
      </c>
      <c r="K241" t="s">
        <v>1334</v>
      </c>
      <c r="L241" t="str">
        <f>IFERROR(IF(VALUE(tblRace2024[[#This Row],[Position]])=1,"Yes","No"),"No")</f>
        <v>Yes</v>
      </c>
      <c r="M241">
        <v>2024</v>
      </c>
    </row>
    <row r="242" spans="1:13" hidden="1" x14ac:dyDescent="0.45">
      <c r="A242" t="s">
        <v>1332</v>
      </c>
      <c r="B242" t="s">
        <v>18</v>
      </c>
      <c r="C242">
        <v>4</v>
      </c>
      <c r="D242" t="s">
        <v>13</v>
      </c>
      <c r="E242" t="s">
        <v>14</v>
      </c>
      <c r="F242">
        <v>1</v>
      </c>
      <c r="G242">
        <v>70</v>
      </c>
      <c r="H242" t="s">
        <v>1335</v>
      </c>
      <c r="I242">
        <v>18</v>
      </c>
      <c r="J242" t="s">
        <v>2</v>
      </c>
      <c r="K242" t="s">
        <v>1336</v>
      </c>
      <c r="L242" t="str">
        <f>IFERROR(IF(VALUE(tblRace2024[[#This Row],[Position]])=1,"Yes","No"),"No")</f>
        <v>No</v>
      </c>
      <c r="M242">
        <v>2024</v>
      </c>
    </row>
    <row r="243" spans="1:13" hidden="1" x14ac:dyDescent="0.45">
      <c r="A243" t="s">
        <v>1332</v>
      </c>
      <c r="B243" t="s">
        <v>23</v>
      </c>
      <c r="C243">
        <v>44</v>
      </c>
      <c r="D243" t="s">
        <v>57</v>
      </c>
      <c r="E243" t="s">
        <v>25</v>
      </c>
      <c r="F243">
        <v>5</v>
      </c>
      <c r="G243">
        <v>70</v>
      </c>
      <c r="H243" t="s">
        <v>1337</v>
      </c>
      <c r="I243">
        <v>15</v>
      </c>
      <c r="J243" t="s">
        <v>2</v>
      </c>
      <c r="K243" t="s">
        <v>1338</v>
      </c>
      <c r="L243" t="str">
        <f>IFERROR(IF(VALUE(tblRace2024[[#This Row],[Position]])=1,"Yes","No"),"No")</f>
        <v>No</v>
      </c>
      <c r="M243">
        <v>2024</v>
      </c>
    </row>
    <row r="244" spans="1:13" hidden="1" x14ac:dyDescent="0.45">
      <c r="A244" t="s">
        <v>1332</v>
      </c>
      <c r="B244" t="s">
        <v>28</v>
      </c>
      <c r="C244">
        <v>16</v>
      </c>
      <c r="D244" t="s">
        <v>48</v>
      </c>
      <c r="E244" t="s">
        <v>49</v>
      </c>
      <c r="F244">
        <v>6</v>
      </c>
      <c r="G244">
        <v>70</v>
      </c>
      <c r="H244" t="s">
        <v>1339</v>
      </c>
      <c r="I244">
        <v>12</v>
      </c>
      <c r="J244" t="s">
        <v>2</v>
      </c>
      <c r="K244" t="s">
        <v>1340</v>
      </c>
      <c r="L244" t="str">
        <f>IFERROR(IF(VALUE(tblRace2024[[#This Row],[Position]])=1,"Yes","No"),"No")</f>
        <v>No</v>
      </c>
      <c r="M244">
        <v>2024</v>
      </c>
    </row>
    <row r="245" spans="1:13" hidden="1" x14ac:dyDescent="0.45">
      <c r="A245" t="s">
        <v>1332</v>
      </c>
      <c r="B245" t="s">
        <v>32</v>
      </c>
      <c r="C245">
        <v>1</v>
      </c>
      <c r="D245" t="s">
        <v>19</v>
      </c>
      <c r="E245" t="s">
        <v>20</v>
      </c>
      <c r="F245">
        <v>3</v>
      </c>
      <c r="G245">
        <v>70</v>
      </c>
      <c r="H245" t="s">
        <v>1341</v>
      </c>
      <c r="I245">
        <v>10</v>
      </c>
      <c r="J245" t="s">
        <v>2</v>
      </c>
      <c r="K245" t="s">
        <v>1342</v>
      </c>
      <c r="L245" t="str">
        <f>IFERROR(IF(VALUE(tblRace2024[[#This Row],[Position]])=1,"Yes","No"),"No")</f>
        <v>No</v>
      </c>
      <c r="M245">
        <v>2024</v>
      </c>
    </row>
    <row r="246" spans="1:13" hidden="1" x14ac:dyDescent="0.45">
      <c r="A246" t="s">
        <v>1332</v>
      </c>
      <c r="B246" t="s">
        <v>37</v>
      </c>
      <c r="C246">
        <v>55</v>
      </c>
      <c r="D246" t="s">
        <v>87</v>
      </c>
      <c r="E246" t="s">
        <v>49</v>
      </c>
      <c r="F246">
        <v>4</v>
      </c>
      <c r="G246">
        <v>70</v>
      </c>
      <c r="H246" t="s">
        <v>1343</v>
      </c>
      <c r="I246">
        <v>8</v>
      </c>
      <c r="J246" t="s">
        <v>2</v>
      </c>
      <c r="K246" t="s">
        <v>1344</v>
      </c>
      <c r="L246" t="str">
        <f>IFERROR(IF(VALUE(tblRace2024[[#This Row],[Position]])=1,"Yes","No"),"No")</f>
        <v>No</v>
      </c>
      <c r="M246">
        <v>2024</v>
      </c>
    </row>
    <row r="247" spans="1:13" hidden="1" x14ac:dyDescent="0.45">
      <c r="A247" t="s">
        <v>1332</v>
      </c>
      <c r="B247" t="s">
        <v>42</v>
      </c>
      <c r="C247">
        <v>11</v>
      </c>
      <c r="D247" t="s">
        <v>955</v>
      </c>
      <c r="E247" t="s">
        <v>20</v>
      </c>
      <c r="F247">
        <v>16</v>
      </c>
      <c r="G247">
        <v>70</v>
      </c>
      <c r="H247" t="s">
        <v>1345</v>
      </c>
      <c r="I247">
        <v>6</v>
      </c>
      <c r="J247" t="s">
        <v>2</v>
      </c>
      <c r="K247" t="s">
        <v>1346</v>
      </c>
      <c r="L247" t="str">
        <f>IFERROR(IF(VALUE(tblRace2024[[#This Row],[Position]])=1,"Yes","No"),"No")</f>
        <v>No</v>
      </c>
      <c r="M247">
        <v>2024</v>
      </c>
    </row>
    <row r="248" spans="1:13" hidden="1" x14ac:dyDescent="0.45">
      <c r="A248" t="s">
        <v>1332</v>
      </c>
      <c r="B248" t="s">
        <v>47</v>
      </c>
      <c r="C248">
        <v>63</v>
      </c>
      <c r="D248" t="s">
        <v>24</v>
      </c>
      <c r="E248" t="s">
        <v>25</v>
      </c>
      <c r="F248">
        <v>17</v>
      </c>
      <c r="G248">
        <v>70</v>
      </c>
      <c r="H248" t="s">
        <v>1347</v>
      </c>
      <c r="I248">
        <v>5</v>
      </c>
      <c r="J248" t="s">
        <v>16</v>
      </c>
      <c r="K248" t="s">
        <v>1348</v>
      </c>
      <c r="L248" t="str">
        <f>IFERROR(IF(VALUE(tblRace2024[[#This Row],[Position]])=1,"Yes","No"),"No")</f>
        <v>No</v>
      </c>
      <c r="M248">
        <v>2024</v>
      </c>
    </row>
    <row r="249" spans="1:13" hidden="1" x14ac:dyDescent="0.45">
      <c r="A249" t="s">
        <v>1332</v>
      </c>
      <c r="B249" t="s">
        <v>52</v>
      </c>
      <c r="C249">
        <v>22</v>
      </c>
      <c r="D249" t="s">
        <v>66</v>
      </c>
      <c r="E249" t="s">
        <v>979</v>
      </c>
      <c r="F249">
        <v>10</v>
      </c>
      <c r="G249">
        <v>70</v>
      </c>
      <c r="H249" t="s">
        <v>1349</v>
      </c>
      <c r="I249">
        <v>2</v>
      </c>
      <c r="J249" t="s">
        <v>2</v>
      </c>
      <c r="K249" t="s">
        <v>1350</v>
      </c>
      <c r="L249" t="str">
        <f>IFERROR(IF(VALUE(tblRace2024[[#This Row],[Position]])=1,"Yes","No"),"No")</f>
        <v>No</v>
      </c>
      <c r="M249">
        <v>2024</v>
      </c>
    </row>
    <row r="250" spans="1:13" hidden="1" x14ac:dyDescent="0.45">
      <c r="A250" t="s">
        <v>1332</v>
      </c>
      <c r="B250" t="s">
        <v>56</v>
      </c>
      <c r="C250">
        <v>18</v>
      </c>
      <c r="D250" t="s">
        <v>38</v>
      </c>
      <c r="E250" t="s">
        <v>39</v>
      </c>
      <c r="F250">
        <v>8</v>
      </c>
      <c r="G250">
        <v>70</v>
      </c>
      <c r="H250" t="s">
        <v>1351</v>
      </c>
      <c r="I250">
        <v>1</v>
      </c>
      <c r="J250" t="s">
        <v>2</v>
      </c>
      <c r="K250" t="s">
        <v>1352</v>
      </c>
      <c r="L250" t="str">
        <f>IFERROR(IF(VALUE(tblRace2024[[#This Row],[Position]])=1,"Yes","No"),"No")</f>
        <v>No</v>
      </c>
      <c r="M250">
        <v>2024</v>
      </c>
    </row>
    <row r="251" spans="1:13" hidden="1" x14ac:dyDescent="0.45">
      <c r="A251" t="s">
        <v>1332</v>
      </c>
      <c r="B251" t="s">
        <v>60</v>
      </c>
      <c r="C251">
        <v>14</v>
      </c>
      <c r="D251" t="s">
        <v>85</v>
      </c>
      <c r="E251" t="s">
        <v>39</v>
      </c>
      <c r="F251">
        <v>7</v>
      </c>
      <c r="G251">
        <v>70</v>
      </c>
      <c r="H251" t="s">
        <v>1353</v>
      </c>
      <c r="I251">
        <v>0</v>
      </c>
      <c r="J251" t="s">
        <v>2</v>
      </c>
      <c r="K251" t="s">
        <v>1354</v>
      </c>
      <c r="L251" t="str">
        <f>IFERROR(IF(VALUE(tblRace2024[[#This Row],[Position]])=1,"Yes","No"),"No")</f>
        <v>No</v>
      </c>
      <c r="M251">
        <v>2024</v>
      </c>
    </row>
    <row r="252" spans="1:13" hidden="1" x14ac:dyDescent="0.45">
      <c r="A252" t="s">
        <v>1332</v>
      </c>
      <c r="B252" t="s">
        <v>65</v>
      </c>
      <c r="C252">
        <v>3</v>
      </c>
      <c r="D252" t="s">
        <v>978</v>
      </c>
      <c r="E252" t="s">
        <v>979</v>
      </c>
      <c r="F252">
        <v>9</v>
      </c>
      <c r="G252">
        <v>69</v>
      </c>
      <c r="H252" t="s">
        <v>118</v>
      </c>
      <c r="I252">
        <v>0</v>
      </c>
      <c r="J252" t="s">
        <v>2</v>
      </c>
      <c r="K252" t="s">
        <v>1355</v>
      </c>
      <c r="L252" t="str">
        <f>IFERROR(IF(VALUE(tblRace2024[[#This Row],[Position]])=1,"Yes","No"),"No")</f>
        <v>No</v>
      </c>
      <c r="M252">
        <v>2024</v>
      </c>
    </row>
    <row r="253" spans="1:13" hidden="1" x14ac:dyDescent="0.45">
      <c r="A253" t="s">
        <v>1332</v>
      </c>
      <c r="B253" t="s">
        <v>70</v>
      </c>
      <c r="C253">
        <v>27</v>
      </c>
      <c r="D253" t="s">
        <v>43</v>
      </c>
      <c r="E253" t="s">
        <v>72</v>
      </c>
      <c r="F253">
        <v>11</v>
      </c>
      <c r="G253">
        <v>69</v>
      </c>
      <c r="H253" t="s">
        <v>118</v>
      </c>
      <c r="I253">
        <v>0</v>
      </c>
      <c r="J253" t="s">
        <v>2</v>
      </c>
      <c r="K253" t="s">
        <v>1356</v>
      </c>
      <c r="L253" t="str">
        <f>IFERROR(IF(VALUE(tblRace2024[[#This Row],[Position]])=1,"Yes","No"),"No")</f>
        <v>No</v>
      </c>
      <c r="M253">
        <v>2024</v>
      </c>
    </row>
    <row r="254" spans="1:13" hidden="1" x14ac:dyDescent="0.45">
      <c r="A254" t="s">
        <v>1332</v>
      </c>
      <c r="B254" t="s">
        <v>75</v>
      </c>
      <c r="C254">
        <v>23</v>
      </c>
      <c r="D254" t="s">
        <v>33</v>
      </c>
      <c r="E254" t="s">
        <v>34</v>
      </c>
      <c r="F254">
        <v>13</v>
      </c>
      <c r="G254">
        <v>69</v>
      </c>
      <c r="H254" t="s">
        <v>118</v>
      </c>
      <c r="I254">
        <v>0</v>
      </c>
      <c r="J254" t="s">
        <v>2</v>
      </c>
      <c r="K254" t="s">
        <v>1357</v>
      </c>
      <c r="L254" t="str">
        <f>IFERROR(IF(VALUE(tblRace2024[[#This Row],[Position]])=1,"Yes","No"),"No")</f>
        <v>No</v>
      </c>
      <c r="M254">
        <v>2024</v>
      </c>
    </row>
    <row r="255" spans="1:13" hidden="1" x14ac:dyDescent="0.45">
      <c r="A255" t="s">
        <v>1332</v>
      </c>
      <c r="B255" t="s">
        <v>120</v>
      </c>
      <c r="C255">
        <v>20</v>
      </c>
      <c r="D255" t="s">
        <v>976</v>
      </c>
      <c r="E255" t="s">
        <v>72</v>
      </c>
      <c r="F255">
        <v>15</v>
      </c>
      <c r="G255">
        <v>69</v>
      </c>
      <c r="H255" t="s">
        <v>118</v>
      </c>
      <c r="I255">
        <v>0</v>
      </c>
      <c r="J255" t="s">
        <v>2</v>
      </c>
      <c r="K255" t="s">
        <v>1358</v>
      </c>
      <c r="L255" t="str">
        <f>IFERROR(IF(VALUE(tblRace2024[[#This Row],[Position]])=1,"Yes","No"),"No")</f>
        <v>No</v>
      </c>
      <c r="M255">
        <v>2024</v>
      </c>
    </row>
    <row r="256" spans="1:13" hidden="1" x14ac:dyDescent="0.45">
      <c r="A256" t="s">
        <v>1332</v>
      </c>
      <c r="B256" t="s">
        <v>122</v>
      </c>
      <c r="C256">
        <v>77</v>
      </c>
      <c r="D256" t="s">
        <v>986</v>
      </c>
      <c r="E256" t="s">
        <v>44</v>
      </c>
      <c r="F256">
        <v>12</v>
      </c>
      <c r="G256">
        <v>69</v>
      </c>
      <c r="H256" t="s">
        <v>118</v>
      </c>
      <c r="I256">
        <v>0</v>
      </c>
      <c r="J256" t="s">
        <v>2</v>
      </c>
      <c r="K256" t="s">
        <v>1359</v>
      </c>
      <c r="L256" t="str">
        <f>IFERROR(IF(VALUE(tblRace2024[[#This Row],[Position]])=1,"Yes","No"),"No")</f>
        <v>No</v>
      </c>
      <c r="M256">
        <v>2024</v>
      </c>
    </row>
    <row r="257" spans="1:13" hidden="1" x14ac:dyDescent="0.45">
      <c r="A257" t="s">
        <v>1332</v>
      </c>
      <c r="B257" t="s">
        <v>163</v>
      </c>
      <c r="C257">
        <v>2</v>
      </c>
      <c r="D257" t="s">
        <v>988</v>
      </c>
      <c r="E257" t="s">
        <v>34</v>
      </c>
      <c r="F257">
        <v>14</v>
      </c>
      <c r="G257">
        <v>69</v>
      </c>
      <c r="H257" t="s">
        <v>118</v>
      </c>
      <c r="I257">
        <v>0</v>
      </c>
      <c r="J257" t="s">
        <v>2</v>
      </c>
      <c r="K257" t="s">
        <v>1360</v>
      </c>
      <c r="L257" t="str">
        <f>IFERROR(IF(VALUE(tblRace2024[[#This Row],[Position]])=1,"Yes","No"),"No")</f>
        <v>No</v>
      </c>
      <c r="M257">
        <v>2024</v>
      </c>
    </row>
    <row r="258" spans="1:13" hidden="1" x14ac:dyDescent="0.45">
      <c r="A258" t="s">
        <v>1332</v>
      </c>
      <c r="B258" t="s">
        <v>166</v>
      </c>
      <c r="C258">
        <v>31</v>
      </c>
      <c r="D258" t="s">
        <v>71</v>
      </c>
      <c r="E258" t="s">
        <v>62</v>
      </c>
      <c r="F258">
        <v>19</v>
      </c>
      <c r="G258">
        <v>69</v>
      </c>
      <c r="H258" t="s">
        <v>118</v>
      </c>
      <c r="I258">
        <v>0</v>
      </c>
      <c r="J258" t="s">
        <v>2</v>
      </c>
      <c r="K258" t="s">
        <v>1361</v>
      </c>
      <c r="L258" t="str">
        <f>IFERROR(IF(VALUE(tblRace2024[[#This Row],[Position]])=1,"Yes","No"),"No")</f>
        <v>No</v>
      </c>
      <c r="M258">
        <v>2024</v>
      </c>
    </row>
    <row r="259" spans="1:13" hidden="1" x14ac:dyDescent="0.45">
      <c r="A259" t="s">
        <v>1332</v>
      </c>
      <c r="B259" t="s">
        <v>169</v>
      </c>
      <c r="C259">
        <v>24</v>
      </c>
      <c r="D259" t="s">
        <v>974</v>
      </c>
      <c r="E259" t="s">
        <v>44</v>
      </c>
      <c r="F259">
        <v>18</v>
      </c>
      <c r="G259">
        <v>69</v>
      </c>
      <c r="H259" t="s">
        <v>118</v>
      </c>
      <c r="I259">
        <v>0</v>
      </c>
      <c r="J259" t="s">
        <v>2</v>
      </c>
      <c r="K259" t="s">
        <v>1362</v>
      </c>
      <c r="L259" t="str">
        <f>IFERROR(IF(VALUE(tblRace2024[[#This Row],[Position]])=1,"Yes","No"),"No")</f>
        <v>No</v>
      </c>
      <c r="M259">
        <v>2024</v>
      </c>
    </row>
    <row r="260" spans="1:13" hidden="1" x14ac:dyDescent="0.45">
      <c r="A260" t="s">
        <v>1332</v>
      </c>
      <c r="B260" t="s">
        <v>79</v>
      </c>
      <c r="C260">
        <v>10</v>
      </c>
      <c r="D260" t="s">
        <v>61</v>
      </c>
      <c r="E260" t="s">
        <v>62</v>
      </c>
      <c r="F260">
        <v>20</v>
      </c>
      <c r="G260">
        <v>33</v>
      </c>
      <c r="H260" t="s">
        <v>81</v>
      </c>
      <c r="I260">
        <v>0</v>
      </c>
      <c r="J260" t="s">
        <v>2</v>
      </c>
      <c r="K260" t="s">
        <v>1363</v>
      </c>
      <c r="L260" t="str">
        <f>IFERROR(IF(VALUE(tblRace2024[[#This Row],[Position]])=1,"Yes","No"),"No")</f>
        <v>No</v>
      </c>
      <c r="M260">
        <v>2024</v>
      </c>
    </row>
    <row r="261" spans="1:13" hidden="1" x14ac:dyDescent="0.45">
      <c r="A261" t="s">
        <v>1364</v>
      </c>
      <c r="B261" t="s">
        <v>125</v>
      </c>
      <c r="C261">
        <v>63</v>
      </c>
      <c r="D261" t="s">
        <v>24</v>
      </c>
      <c r="E261" t="s">
        <v>25</v>
      </c>
      <c r="F261">
        <v>6</v>
      </c>
      <c r="G261">
        <v>44</v>
      </c>
      <c r="H261" t="s">
        <v>1365</v>
      </c>
      <c r="I261">
        <v>0</v>
      </c>
      <c r="J261" t="s">
        <v>2</v>
      </c>
      <c r="K261" t="s">
        <v>1366</v>
      </c>
      <c r="L261" t="str">
        <f>IFERROR(IF(VALUE(tblRace2024[[#This Row],[Position]])=1,"Yes","No"),"No")</f>
        <v>No</v>
      </c>
      <c r="M261">
        <v>2024</v>
      </c>
    </row>
    <row r="262" spans="1:13" hidden="1" x14ac:dyDescent="0.45">
      <c r="A262" t="s">
        <v>1364</v>
      </c>
      <c r="B262" t="s">
        <v>12</v>
      </c>
      <c r="C262">
        <v>44</v>
      </c>
      <c r="D262" t="s">
        <v>57</v>
      </c>
      <c r="E262" t="s">
        <v>25</v>
      </c>
      <c r="F262">
        <v>3</v>
      </c>
      <c r="G262">
        <v>44</v>
      </c>
      <c r="H262" t="s">
        <v>1367</v>
      </c>
      <c r="I262">
        <v>25</v>
      </c>
      <c r="J262" t="s">
        <v>2</v>
      </c>
      <c r="K262" t="s">
        <v>1368</v>
      </c>
      <c r="L262" t="str">
        <f>IFERROR(IF(VALUE(tblRace2024[[#This Row],[Position]])=1,"Yes","No"),"No")</f>
        <v>Yes</v>
      </c>
      <c r="M262">
        <v>2024</v>
      </c>
    </row>
    <row r="263" spans="1:13" hidden="1" x14ac:dyDescent="0.45">
      <c r="A263" t="s">
        <v>1364</v>
      </c>
      <c r="B263" t="s">
        <v>18</v>
      </c>
      <c r="C263">
        <v>81</v>
      </c>
      <c r="D263" t="s">
        <v>53</v>
      </c>
      <c r="E263" t="s">
        <v>14</v>
      </c>
      <c r="F263">
        <v>5</v>
      </c>
      <c r="G263">
        <v>44</v>
      </c>
      <c r="H263" t="s">
        <v>1369</v>
      </c>
      <c r="I263">
        <v>18</v>
      </c>
      <c r="J263" t="s">
        <v>2</v>
      </c>
      <c r="K263" t="s">
        <v>1370</v>
      </c>
      <c r="L263" t="str">
        <f>IFERROR(IF(VALUE(tblRace2024[[#This Row],[Position]])=1,"Yes","No"),"No")</f>
        <v>No</v>
      </c>
      <c r="M263">
        <v>2024</v>
      </c>
    </row>
    <row r="264" spans="1:13" hidden="1" x14ac:dyDescent="0.45">
      <c r="A264" t="s">
        <v>1364</v>
      </c>
      <c r="B264" t="s">
        <v>23</v>
      </c>
      <c r="C264">
        <v>16</v>
      </c>
      <c r="D264" t="s">
        <v>48</v>
      </c>
      <c r="E264" t="s">
        <v>49</v>
      </c>
      <c r="F264">
        <v>1</v>
      </c>
      <c r="G264">
        <v>44</v>
      </c>
      <c r="H264" t="s">
        <v>1371</v>
      </c>
      <c r="I264">
        <v>15</v>
      </c>
      <c r="J264" t="s">
        <v>2</v>
      </c>
      <c r="K264" t="s">
        <v>1372</v>
      </c>
      <c r="L264" t="str">
        <f>IFERROR(IF(VALUE(tblRace2024[[#This Row],[Position]])=1,"Yes","No"),"No")</f>
        <v>No</v>
      </c>
      <c r="M264">
        <v>2024</v>
      </c>
    </row>
    <row r="265" spans="1:13" hidden="1" x14ac:dyDescent="0.45">
      <c r="A265" t="s">
        <v>1364</v>
      </c>
      <c r="B265" t="s">
        <v>28</v>
      </c>
      <c r="C265">
        <v>1</v>
      </c>
      <c r="D265" t="s">
        <v>19</v>
      </c>
      <c r="E265" t="s">
        <v>20</v>
      </c>
      <c r="F265">
        <v>11</v>
      </c>
      <c r="G265">
        <v>44</v>
      </c>
      <c r="H265" t="s">
        <v>1373</v>
      </c>
      <c r="I265">
        <v>12</v>
      </c>
      <c r="J265" t="s">
        <v>2</v>
      </c>
      <c r="K265" t="s">
        <v>1374</v>
      </c>
      <c r="L265" t="str">
        <f>IFERROR(IF(VALUE(tblRace2024[[#This Row],[Position]])=1,"Yes","No"),"No")</f>
        <v>No</v>
      </c>
      <c r="M265">
        <v>2024</v>
      </c>
    </row>
    <row r="266" spans="1:13" hidden="1" x14ac:dyDescent="0.45">
      <c r="A266" t="s">
        <v>1364</v>
      </c>
      <c r="B266" t="s">
        <v>32</v>
      </c>
      <c r="C266">
        <v>4</v>
      </c>
      <c r="D266" t="s">
        <v>13</v>
      </c>
      <c r="E266" t="s">
        <v>14</v>
      </c>
      <c r="F266">
        <v>4</v>
      </c>
      <c r="G266">
        <v>44</v>
      </c>
      <c r="H266" t="s">
        <v>1375</v>
      </c>
      <c r="I266">
        <v>10</v>
      </c>
      <c r="J266" t="s">
        <v>2</v>
      </c>
      <c r="K266" t="s">
        <v>1376</v>
      </c>
      <c r="L266" t="str">
        <f>IFERROR(IF(VALUE(tblRace2024[[#This Row],[Position]])=1,"Yes","No"),"No")</f>
        <v>No</v>
      </c>
      <c r="M266">
        <v>2024</v>
      </c>
    </row>
    <row r="267" spans="1:13" hidden="1" x14ac:dyDescent="0.45">
      <c r="A267" t="s">
        <v>1364</v>
      </c>
      <c r="B267" t="s">
        <v>37</v>
      </c>
      <c r="C267">
        <v>55</v>
      </c>
      <c r="D267" t="s">
        <v>87</v>
      </c>
      <c r="E267" t="s">
        <v>49</v>
      </c>
      <c r="F267">
        <v>7</v>
      </c>
      <c r="G267">
        <v>44</v>
      </c>
      <c r="H267" t="s">
        <v>1377</v>
      </c>
      <c r="I267">
        <v>8</v>
      </c>
      <c r="J267" t="s">
        <v>2</v>
      </c>
      <c r="K267" t="s">
        <v>1378</v>
      </c>
      <c r="L267" t="str">
        <f>IFERROR(IF(VALUE(tblRace2024[[#This Row],[Position]])=1,"Yes","No"),"No")</f>
        <v>No</v>
      </c>
      <c r="M267">
        <v>2024</v>
      </c>
    </row>
    <row r="268" spans="1:13" hidden="1" x14ac:dyDescent="0.45">
      <c r="A268" t="s">
        <v>1364</v>
      </c>
      <c r="B268" t="s">
        <v>42</v>
      </c>
      <c r="C268">
        <v>11</v>
      </c>
      <c r="D268" t="s">
        <v>955</v>
      </c>
      <c r="E268" t="s">
        <v>20</v>
      </c>
      <c r="F268">
        <v>2</v>
      </c>
      <c r="G268">
        <v>44</v>
      </c>
      <c r="H268" t="s">
        <v>1379</v>
      </c>
      <c r="I268">
        <v>7</v>
      </c>
      <c r="J268" t="s">
        <v>16</v>
      </c>
      <c r="K268" t="s">
        <v>1380</v>
      </c>
      <c r="L268" t="str">
        <f>IFERROR(IF(VALUE(tblRace2024[[#This Row],[Position]])=1,"Yes","No"),"No")</f>
        <v>No</v>
      </c>
      <c r="M268">
        <v>2024</v>
      </c>
    </row>
    <row r="269" spans="1:13" hidden="1" x14ac:dyDescent="0.45">
      <c r="A269" t="s">
        <v>1364</v>
      </c>
      <c r="B269" t="s">
        <v>47</v>
      </c>
      <c r="C269">
        <v>14</v>
      </c>
      <c r="D269" t="s">
        <v>85</v>
      </c>
      <c r="E269" t="s">
        <v>39</v>
      </c>
      <c r="F269">
        <v>8</v>
      </c>
      <c r="G269">
        <v>44</v>
      </c>
      <c r="H269" t="s">
        <v>1381</v>
      </c>
      <c r="I269">
        <v>4</v>
      </c>
      <c r="J269" t="s">
        <v>2</v>
      </c>
      <c r="K269" t="s">
        <v>1382</v>
      </c>
      <c r="L269" t="str">
        <f>IFERROR(IF(VALUE(tblRace2024[[#This Row],[Position]])=1,"Yes","No"),"No")</f>
        <v>No</v>
      </c>
      <c r="M269">
        <v>2024</v>
      </c>
    </row>
    <row r="270" spans="1:13" hidden="1" x14ac:dyDescent="0.45">
      <c r="A270" t="s">
        <v>1364</v>
      </c>
      <c r="B270" t="s">
        <v>52</v>
      </c>
      <c r="C270">
        <v>31</v>
      </c>
      <c r="D270" t="s">
        <v>71</v>
      </c>
      <c r="E270" t="s">
        <v>62</v>
      </c>
      <c r="F270">
        <v>9</v>
      </c>
      <c r="G270">
        <v>44</v>
      </c>
      <c r="H270" t="s">
        <v>1383</v>
      </c>
      <c r="I270">
        <v>2</v>
      </c>
      <c r="J270" t="s">
        <v>2</v>
      </c>
      <c r="K270" t="s">
        <v>1384</v>
      </c>
      <c r="L270" t="str">
        <f>IFERROR(IF(VALUE(tblRace2024[[#This Row],[Position]])=1,"Yes","No"),"No")</f>
        <v>No</v>
      </c>
      <c r="M270">
        <v>2024</v>
      </c>
    </row>
    <row r="271" spans="1:13" hidden="1" x14ac:dyDescent="0.45">
      <c r="A271" t="s">
        <v>1364</v>
      </c>
      <c r="B271" t="s">
        <v>56</v>
      </c>
      <c r="C271">
        <v>3</v>
      </c>
      <c r="D271" t="s">
        <v>978</v>
      </c>
      <c r="E271" t="s">
        <v>979</v>
      </c>
      <c r="F271">
        <v>13</v>
      </c>
      <c r="G271">
        <v>44</v>
      </c>
      <c r="H271" t="s">
        <v>1385</v>
      </c>
      <c r="I271">
        <v>1</v>
      </c>
      <c r="J271" t="s">
        <v>2</v>
      </c>
      <c r="K271" t="s">
        <v>1386</v>
      </c>
      <c r="L271" t="str">
        <f>IFERROR(IF(VALUE(tblRace2024[[#This Row],[Position]])=1,"Yes","No"),"No")</f>
        <v>No</v>
      </c>
      <c r="M271">
        <v>2024</v>
      </c>
    </row>
    <row r="272" spans="1:13" hidden="1" x14ac:dyDescent="0.45">
      <c r="A272" t="s">
        <v>1364</v>
      </c>
      <c r="B272" t="s">
        <v>60</v>
      </c>
      <c r="C272">
        <v>18</v>
      </c>
      <c r="D272" t="s">
        <v>38</v>
      </c>
      <c r="E272" t="s">
        <v>39</v>
      </c>
      <c r="F272">
        <v>15</v>
      </c>
      <c r="G272">
        <v>44</v>
      </c>
      <c r="H272" t="s">
        <v>1387</v>
      </c>
      <c r="I272">
        <v>0</v>
      </c>
      <c r="J272" t="s">
        <v>2</v>
      </c>
      <c r="K272" t="s">
        <v>1388</v>
      </c>
      <c r="L272" t="str">
        <f>IFERROR(IF(VALUE(tblRace2024[[#This Row],[Position]])=1,"Yes","No"),"No")</f>
        <v>No</v>
      </c>
      <c r="M272">
        <v>2024</v>
      </c>
    </row>
    <row r="273" spans="1:13" hidden="1" x14ac:dyDescent="0.45">
      <c r="A273" t="s">
        <v>1364</v>
      </c>
      <c r="B273" t="s">
        <v>65</v>
      </c>
      <c r="C273">
        <v>23</v>
      </c>
      <c r="D273" t="s">
        <v>33</v>
      </c>
      <c r="E273" t="s">
        <v>34</v>
      </c>
      <c r="F273">
        <v>10</v>
      </c>
      <c r="G273">
        <v>44</v>
      </c>
      <c r="H273" t="s">
        <v>1389</v>
      </c>
      <c r="I273">
        <v>0</v>
      </c>
      <c r="J273" t="s">
        <v>2</v>
      </c>
      <c r="K273" t="s">
        <v>1390</v>
      </c>
      <c r="L273" t="str">
        <f>IFERROR(IF(VALUE(tblRace2024[[#This Row],[Position]])=1,"Yes","No"),"No")</f>
        <v>No</v>
      </c>
      <c r="M273">
        <v>2024</v>
      </c>
    </row>
    <row r="274" spans="1:13" hidden="1" x14ac:dyDescent="0.45">
      <c r="A274" t="s">
        <v>1364</v>
      </c>
      <c r="B274" t="s">
        <v>70</v>
      </c>
      <c r="C274">
        <v>10</v>
      </c>
      <c r="D274" t="s">
        <v>61</v>
      </c>
      <c r="E274" t="s">
        <v>62</v>
      </c>
      <c r="F274">
        <v>12</v>
      </c>
      <c r="G274">
        <v>44</v>
      </c>
      <c r="H274" t="s">
        <v>1391</v>
      </c>
      <c r="I274">
        <v>0</v>
      </c>
      <c r="J274" t="s">
        <v>2</v>
      </c>
      <c r="K274" t="s">
        <v>1392</v>
      </c>
      <c r="L274" t="str">
        <f>IFERROR(IF(VALUE(tblRace2024[[#This Row],[Position]])=1,"Yes","No"),"No")</f>
        <v>No</v>
      </c>
      <c r="M274">
        <v>2024</v>
      </c>
    </row>
    <row r="275" spans="1:13" hidden="1" x14ac:dyDescent="0.45">
      <c r="A275" t="s">
        <v>1364</v>
      </c>
      <c r="B275" t="s">
        <v>75</v>
      </c>
      <c r="C275">
        <v>20</v>
      </c>
      <c r="D275" t="s">
        <v>976</v>
      </c>
      <c r="E275" t="s">
        <v>72</v>
      </c>
      <c r="F275">
        <v>17</v>
      </c>
      <c r="G275">
        <v>44</v>
      </c>
      <c r="H275" t="s">
        <v>1393</v>
      </c>
      <c r="I275">
        <v>0</v>
      </c>
      <c r="J275" t="s">
        <v>2</v>
      </c>
      <c r="K275" t="s">
        <v>1394</v>
      </c>
      <c r="L275" t="str">
        <f>IFERROR(IF(VALUE(tblRace2024[[#This Row],[Position]])=1,"Yes","No"),"No")</f>
        <v>No</v>
      </c>
      <c r="M275">
        <v>2024</v>
      </c>
    </row>
    <row r="276" spans="1:13" hidden="1" x14ac:dyDescent="0.45">
      <c r="A276" t="s">
        <v>1364</v>
      </c>
      <c r="B276" t="s">
        <v>120</v>
      </c>
      <c r="C276">
        <v>77</v>
      </c>
      <c r="D276" t="s">
        <v>986</v>
      </c>
      <c r="E276" t="s">
        <v>44</v>
      </c>
      <c r="F276">
        <v>14</v>
      </c>
      <c r="G276">
        <v>44</v>
      </c>
      <c r="H276" t="s">
        <v>1395</v>
      </c>
      <c r="I276">
        <v>0</v>
      </c>
      <c r="J276" t="s">
        <v>2</v>
      </c>
      <c r="K276" t="s">
        <v>1396</v>
      </c>
      <c r="L276" t="str">
        <f>IFERROR(IF(VALUE(tblRace2024[[#This Row],[Position]])=1,"Yes","No"),"No")</f>
        <v>No</v>
      </c>
      <c r="M276">
        <v>2024</v>
      </c>
    </row>
    <row r="277" spans="1:13" hidden="1" x14ac:dyDescent="0.45">
      <c r="A277" t="s">
        <v>1364</v>
      </c>
      <c r="B277" t="s">
        <v>122</v>
      </c>
      <c r="C277">
        <v>22</v>
      </c>
      <c r="D277" t="s">
        <v>66</v>
      </c>
      <c r="E277" t="s">
        <v>979</v>
      </c>
      <c r="F277">
        <v>20</v>
      </c>
      <c r="G277">
        <v>44</v>
      </c>
      <c r="H277" t="s">
        <v>1397</v>
      </c>
      <c r="I277">
        <v>0</v>
      </c>
      <c r="J277" t="s">
        <v>2</v>
      </c>
      <c r="K277" t="s">
        <v>1398</v>
      </c>
      <c r="L277" t="str">
        <f>IFERROR(IF(VALUE(tblRace2024[[#This Row],[Position]])=1,"Yes","No"),"No")</f>
        <v>No</v>
      </c>
      <c r="M277">
        <v>2024</v>
      </c>
    </row>
    <row r="278" spans="1:13" hidden="1" x14ac:dyDescent="0.45">
      <c r="A278" t="s">
        <v>1364</v>
      </c>
      <c r="B278" t="s">
        <v>163</v>
      </c>
      <c r="C278">
        <v>2</v>
      </c>
      <c r="D278" t="s">
        <v>988</v>
      </c>
      <c r="E278" t="s">
        <v>34</v>
      </c>
      <c r="F278">
        <v>18</v>
      </c>
      <c r="G278">
        <v>44</v>
      </c>
      <c r="H278" t="s">
        <v>1399</v>
      </c>
      <c r="I278">
        <v>0</v>
      </c>
      <c r="J278" t="s">
        <v>2</v>
      </c>
      <c r="K278" t="s">
        <v>1400</v>
      </c>
      <c r="L278" t="str">
        <f>IFERROR(IF(VALUE(tblRace2024[[#This Row],[Position]])=1,"Yes","No"),"No")</f>
        <v>No</v>
      </c>
      <c r="M278">
        <v>2024</v>
      </c>
    </row>
    <row r="279" spans="1:13" hidden="1" x14ac:dyDescent="0.45">
      <c r="A279" t="s">
        <v>1364</v>
      </c>
      <c r="B279" t="s">
        <v>166</v>
      </c>
      <c r="C279">
        <v>27</v>
      </c>
      <c r="D279" t="s">
        <v>43</v>
      </c>
      <c r="E279" t="s">
        <v>72</v>
      </c>
      <c r="F279">
        <v>16</v>
      </c>
      <c r="G279">
        <v>44</v>
      </c>
      <c r="H279" t="s">
        <v>1401</v>
      </c>
      <c r="I279">
        <v>0</v>
      </c>
      <c r="J279" t="s">
        <v>2</v>
      </c>
      <c r="K279" t="s">
        <v>1402</v>
      </c>
      <c r="L279" t="str">
        <f>IFERROR(IF(VALUE(tblRace2024[[#This Row],[Position]])=1,"Yes","No"),"No")</f>
        <v>No</v>
      </c>
      <c r="M279">
        <v>2024</v>
      </c>
    </row>
    <row r="280" spans="1:13" hidden="1" x14ac:dyDescent="0.45">
      <c r="A280" t="s">
        <v>1364</v>
      </c>
      <c r="B280" t="s">
        <v>79</v>
      </c>
      <c r="C280">
        <v>24</v>
      </c>
      <c r="D280" t="s">
        <v>974</v>
      </c>
      <c r="E280" t="s">
        <v>44</v>
      </c>
      <c r="F280">
        <v>19</v>
      </c>
      <c r="G280">
        <v>5</v>
      </c>
      <c r="H280" t="s">
        <v>81</v>
      </c>
      <c r="I280">
        <v>0</v>
      </c>
      <c r="J280" t="s">
        <v>2</v>
      </c>
      <c r="K280" t="s">
        <v>1403</v>
      </c>
      <c r="L280" t="str">
        <f>IFERROR(IF(VALUE(tblRace2024[[#This Row],[Position]])=1,"Yes","No"),"No")</f>
        <v>No</v>
      </c>
      <c r="M280">
        <v>2024</v>
      </c>
    </row>
    <row r="281" spans="1:13" hidden="1" x14ac:dyDescent="0.45">
      <c r="A281" t="s">
        <v>809</v>
      </c>
      <c r="B281" t="s">
        <v>12</v>
      </c>
      <c r="C281">
        <v>4</v>
      </c>
      <c r="D281" t="s">
        <v>13</v>
      </c>
      <c r="E281" t="s">
        <v>14</v>
      </c>
      <c r="F281">
        <v>1</v>
      </c>
      <c r="G281">
        <v>72</v>
      </c>
      <c r="H281" t="s">
        <v>1404</v>
      </c>
      <c r="I281">
        <v>26</v>
      </c>
      <c r="J281" t="s">
        <v>16</v>
      </c>
      <c r="K281" t="s">
        <v>1405</v>
      </c>
      <c r="L281" t="str">
        <f>IFERROR(IF(VALUE(tblRace2024[[#This Row],[Position]])=1,"Yes","No"),"No")</f>
        <v>Yes</v>
      </c>
      <c r="M281">
        <v>2024</v>
      </c>
    </row>
    <row r="282" spans="1:13" hidden="1" x14ac:dyDescent="0.45">
      <c r="A282" t="s">
        <v>809</v>
      </c>
      <c r="B282" t="s">
        <v>18</v>
      </c>
      <c r="C282">
        <v>1</v>
      </c>
      <c r="D282" t="s">
        <v>19</v>
      </c>
      <c r="E282" t="s">
        <v>20</v>
      </c>
      <c r="F282">
        <v>2</v>
      </c>
      <c r="G282">
        <v>72</v>
      </c>
      <c r="H282" t="s">
        <v>1406</v>
      </c>
      <c r="I282">
        <v>18</v>
      </c>
      <c r="J282" t="s">
        <v>2</v>
      </c>
      <c r="K282" t="s">
        <v>1407</v>
      </c>
      <c r="L282" t="str">
        <f>IFERROR(IF(VALUE(tblRace2024[[#This Row],[Position]])=1,"Yes","No"),"No")</f>
        <v>No</v>
      </c>
      <c r="M282">
        <v>2024</v>
      </c>
    </row>
    <row r="283" spans="1:13" hidden="1" x14ac:dyDescent="0.45">
      <c r="A283" t="s">
        <v>809</v>
      </c>
      <c r="B283" t="s">
        <v>23</v>
      </c>
      <c r="C283">
        <v>16</v>
      </c>
      <c r="D283" t="s">
        <v>48</v>
      </c>
      <c r="E283" t="s">
        <v>49</v>
      </c>
      <c r="F283">
        <v>6</v>
      </c>
      <c r="G283">
        <v>72</v>
      </c>
      <c r="H283" t="s">
        <v>1408</v>
      </c>
      <c r="I283">
        <v>15</v>
      </c>
      <c r="J283" t="s">
        <v>2</v>
      </c>
      <c r="K283" t="s">
        <v>1409</v>
      </c>
      <c r="L283" t="str">
        <f>IFERROR(IF(VALUE(tblRace2024[[#This Row],[Position]])=1,"Yes","No"),"No")</f>
        <v>No</v>
      </c>
      <c r="M283">
        <v>2024</v>
      </c>
    </row>
    <row r="284" spans="1:13" hidden="1" x14ac:dyDescent="0.45">
      <c r="A284" t="s">
        <v>809</v>
      </c>
      <c r="B284" t="s">
        <v>28</v>
      </c>
      <c r="C284">
        <v>81</v>
      </c>
      <c r="D284" t="s">
        <v>53</v>
      </c>
      <c r="E284" t="s">
        <v>14</v>
      </c>
      <c r="F284">
        <v>3</v>
      </c>
      <c r="G284">
        <v>72</v>
      </c>
      <c r="H284" t="s">
        <v>1410</v>
      </c>
      <c r="I284">
        <v>12</v>
      </c>
      <c r="J284" t="s">
        <v>2</v>
      </c>
      <c r="K284" t="s">
        <v>1411</v>
      </c>
      <c r="L284" t="str">
        <f>IFERROR(IF(VALUE(tblRace2024[[#This Row],[Position]])=1,"Yes","No"),"No")</f>
        <v>No</v>
      </c>
      <c r="M284">
        <v>2024</v>
      </c>
    </row>
    <row r="285" spans="1:13" hidden="1" x14ac:dyDescent="0.45">
      <c r="A285" t="s">
        <v>809</v>
      </c>
      <c r="B285" t="s">
        <v>32</v>
      </c>
      <c r="C285">
        <v>55</v>
      </c>
      <c r="D285" t="s">
        <v>87</v>
      </c>
      <c r="E285" t="s">
        <v>49</v>
      </c>
      <c r="F285">
        <v>10</v>
      </c>
      <c r="G285">
        <v>72</v>
      </c>
      <c r="H285" t="s">
        <v>1412</v>
      </c>
      <c r="I285">
        <v>10</v>
      </c>
      <c r="J285" t="s">
        <v>2</v>
      </c>
      <c r="K285" t="s">
        <v>1413</v>
      </c>
      <c r="L285" t="str">
        <f>IFERROR(IF(VALUE(tblRace2024[[#This Row],[Position]])=1,"Yes","No"),"No")</f>
        <v>No</v>
      </c>
      <c r="M285">
        <v>2024</v>
      </c>
    </row>
    <row r="286" spans="1:13" hidden="1" x14ac:dyDescent="0.45">
      <c r="A286" t="s">
        <v>809</v>
      </c>
      <c r="B286" t="s">
        <v>37</v>
      </c>
      <c r="C286">
        <v>11</v>
      </c>
      <c r="D286" t="s">
        <v>955</v>
      </c>
      <c r="E286" t="s">
        <v>20</v>
      </c>
      <c r="F286">
        <v>5</v>
      </c>
      <c r="G286">
        <v>72</v>
      </c>
      <c r="H286" t="s">
        <v>1414</v>
      </c>
      <c r="I286">
        <v>8</v>
      </c>
      <c r="J286" t="s">
        <v>2</v>
      </c>
      <c r="K286" t="s">
        <v>1415</v>
      </c>
      <c r="L286" t="str">
        <f>IFERROR(IF(VALUE(tblRace2024[[#This Row],[Position]])=1,"Yes","No"),"No")</f>
        <v>No</v>
      </c>
      <c r="M286">
        <v>2024</v>
      </c>
    </row>
    <row r="287" spans="1:13" hidden="1" x14ac:dyDescent="0.45">
      <c r="A287" t="s">
        <v>809</v>
      </c>
      <c r="B287" t="s">
        <v>42</v>
      </c>
      <c r="C287">
        <v>63</v>
      </c>
      <c r="D287" t="s">
        <v>24</v>
      </c>
      <c r="E287" t="s">
        <v>25</v>
      </c>
      <c r="F287">
        <v>4</v>
      </c>
      <c r="G287">
        <v>72</v>
      </c>
      <c r="H287" t="s">
        <v>1416</v>
      </c>
      <c r="I287">
        <v>6</v>
      </c>
      <c r="J287" t="s">
        <v>2</v>
      </c>
      <c r="K287" t="s">
        <v>1417</v>
      </c>
      <c r="L287" t="str">
        <f>IFERROR(IF(VALUE(tblRace2024[[#This Row],[Position]])=1,"Yes","No"),"No")</f>
        <v>No</v>
      </c>
      <c r="M287">
        <v>2024</v>
      </c>
    </row>
    <row r="288" spans="1:13" hidden="1" x14ac:dyDescent="0.45">
      <c r="A288" t="s">
        <v>809</v>
      </c>
      <c r="B288" t="s">
        <v>47</v>
      </c>
      <c r="C288">
        <v>44</v>
      </c>
      <c r="D288" t="s">
        <v>57</v>
      </c>
      <c r="E288" t="s">
        <v>25</v>
      </c>
      <c r="F288">
        <v>14</v>
      </c>
      <c r="G288">
        <v>72</v>
      </c>
      <c r="H288" t="s">
        <v>1418</v>
      </c>
      <c r="I288">
        <v>4</v>
      </c>
      <c r="J288" t="s">
        <v>2</v>
      </c>
      <c r="K288" t="s">
        <v>1419</v>
      </c>
      <c r="L288" t="str">
        <f>IFERROR(IF(VALUE(tblRace2024[[#This Row],[Position]])=1,"Yes","No"),"No")</f>
        <v>No</v>
      </c>
      <c r="M288">
        <v>2024</v>
      </c>
    </row>
    <row r="289" spans="1:13" hidden="1" x14ac:dyDescent="0.45">
      <c r="A289" t="s">
        <v>809</v>
      </c>
      <c r="B289" t="s">
        <v>52</v>
      </c>
      <c r="C289">
        <v>10</v>
      </c>
      <c r="D289" t="s">
        <v>61</v>
      </c>
      <c r="E289" t="s">
        <v>62</v>
      </c>
      <c r="F289">
        <v>9</v>
      </c>
      <c r="G289">
        <v>71</v>
      </c>
      <c r="H289" t="s">
        <v>118</v>
      </c>
      <c r="I289">
        <v>2</v>
      </c>
      <c r="J289" t="s">
        <v>2</v>
      </c>
      <c r="K289" t="s">
        <v>335</v>
      </c>
      <c r="L289" t="str">
        <f>IFERROR(IF(VALUE(tblRace2024[[#This Row],[Position]])=1,"Yes","No"),"No")</f>
        <v>No</v>
      </c>
      <c r="M289">
        <v>2024</v>
      </c>
    </row>
    <row r="290" spans="1:13" hidden="1" x14ac:dyDescent="0.45">
      <c r="A290" t="s">
        <v>809</v>
      </c>
      <c r="B290" t="s">
        <v>56</v>
      </c>
      <c r="C290">
        <v>14</v>
      </c>
      <c r="D290" t="s">
        <v>85</v>
      </c>
      <c r="E290" t="s">
        <v>39</v>
      </c>
      <c r="F290">
        <v>7</v>
      </c>
      <c r="G290">
        <v>71</v>
      </c>
      <c r="H290" t="s">
        <v>118</v>
      </c>
      <c r="I290">
        <v>1</v>
      </c>
      <c r="J290" t="s">
        <v>2</v>
      </c>
      <c r="K290" t="s">
        <v>1420</v>
      </c>
      <c r="L290" t="str">
        <f>IFERROR(IF(VALUE(tblRace2024[[#This Row],[Position]])=1,"Yes","No"),"No")</f>
        <v>No</v>
      </c>
      <c r="M290">
        <v>2024</v>
      </c>
    </row>
    <row r="291" spans="1:13" hidden="1" x14ac:dyDescent="0.45">
      <c r="A291" t="s">
        <v>809</v>
      </c>
      <c r="B291" t="s">
        <v>60</v>
      </c>
      <c r="C291">
        <v>27</v>
      </c>
      <c r="D291" t="s">
        <v>43</v>
      </c>
      <c r="E291" t="s">
        <v>72</v>
      </c>
      <c r="F291">
        <v>12</v>
      </c>
      <c r="G291">
        <v>71</v>
      </c>
      <c r="H291" t="s">
        <v>118</v>
      </c>
      <c r="I291">
        <v>0</v>
      </c>
      <c r="J291" t="s">
        <v>2</v>
      </c>
      <c r="K291" t="s">
        <v>1421</v>
      </c>
      <c r="L291" t="str">
        <f>IFERROR(IF(VALUE(tblRace2024[[#This Row],[Position]])=1,"Yes","No"),"No")</f>
        <v>No</v>
      </c>
      <c r="M291">
        <v>2024</v>
      </c>
    </row>
    <row r="292" spans="1:13" hidden="1" x14ac:dyDescent="0.45">
      <c r="A292" t="s">
        <v>809</v>
      </c>
      <c r="B292" t="s">
        <v>65</v>
      </c>
      <c r="C292">
        <v>3</v>
      </c>
      <c r="D292" t="s">
        <v>978</v>
      </c>
      <c r="E292" t="s">
        <v>979</v>
      </c>
      <c r="F292">
        <v>13</v>
      </c>
      <c r="G292">
        <v>71</v>
      </c>
      <c r="H292" t="s">
        <v>118</v>
      </c>
      <c r="I292">
        <v>0</v>
      </c>
      <c r="J292" t="s">
        <v>2</v>
      </c>
      <c r="K292" t="s">
        <v>1422</v>
      </c>
      <c r="L292" t="str">
        <f>IFERROR(IF(VALUE(tblRace2024[[#This Row],[Position]])=1,"Yes","No"),"No")</f>
        <v>No</v>
      </c>
      <c r="M292">
        <v>2024</v>
      </c>
    </row>
    <row r="293" spans="1:13" hidden="1" x14ac:dyDescent="0.45">
      <c r="A293" t="s">
        <v>809</v>
      </c>
      <c r="B293" t="s">
        <v>70</v>
      </c>
      <c r="C293">
        <v>18</v>
      </c>
      <c r="D293" t="s">
        <v>38</v>
      </c>
      <c r="E293" t="s">
        <v>39</v>
      </c>
      <c r="F293">
        <v>8</v>
      </c>
      <c r="G293">
        <v>71</v>
      </c>
      <c r="H293" t="s">
        <v>118</v>
      </c>
      <c r="I293">
        <v>0</v>
      </c>
      <c r="J293" t="s">
        <v>2</v>
      </c>
      <c r="K293" t="s">
        <v>1423</v>
      </c>
      <c r="L293" t="str">
        <f>IFERROR(IF(VALUE(tblRace2024[[#This Row],[Position]])=1,"Yes","No"),"No")</f>
        <v>No</v>
      </c>
      <c r="M293">
        <v>2024</v>
      </c>
    </row>
    <row r="294" spans="1:13" hidden="1" x14ac:dyDescent="0.45">
      <c r="A294" t="s">
        <v>809</v>
      </c>
      <c r="B294" t="s">
        <v>75</v>
      </c>
      <c r="C294">
        <v>23</v>
      </c>
      <c r="D294" t="s">
        <v>33</v>
      </c>
      <c r="E294" t="s">
        <v>34</v>
      </c>
      <c r="F294">
        <v>19</v>
      </c>
      <c r="G294">
        <v>71</v>
      </c>
      <c r="H294" t="s">
        <v>118</v>
      </c>
      <c r="I294">
        <v>0</v>
      </c>
      <c r="J294" t="s">
        <v>2</v>
      </c>
      <c r="K294" t="s">
        <v>1424</v>
      </c>
      <c r="L294" t="str">
        <f>IFERROR(IF(VALUE(tblRace2024[[#This Row],[Position]])=1,"Yes","No"),"No")</f>
        <v>No</v>
      </c>
      <c r="M294">
        <v>2024</v>
      </c>
    </row>
    <row r="295" spans="1:13" hidden="1" x14ac:dyDescent="0.45">
      <c r="A295" t="s">
        <v>809</v>
      </c>
      <c r="B295" t="s">
        <v>120</v>
      </c>
      <c r="C295">
        <v>31</v>
      </c>
      <c r="D295" t="s">
        <v>71</v>
      </c>
      <c r="E295" t="s">
        <v>62</v>
      </c>
      <c r="F295">
        <v>15</v>
      </c>
      <c r="G295">
        <v>71</v>
      </c>
      <c r="H295" t="s">
        <v>118</v>
      </c>
      <c r="I295">
        <v>0</v>
      </c>
      <c r="J295" t="s">
        <v>2</v>
      </c>
      <c r="K295" t="s">
        <v>1425</v>
      </c>
      <c r="L295" t="str">
        <f>IFERROR(IF(VALUE(tblRace2024[[#This Row],[Position]])=1,"Yes","No"),"No")</f>
        <v>No</v>
      </c>
      <c r="M295">
        <v>2024</v>
      </c>
    </row>
    <row r="296" spans="1:13" hidden="1" x14ac:dyDescent="0.45">
      <c r="A296" t="s">
        <v>809</v>
      </c>
      <c r="B296" t="s">
        <v>122</v>
      </c>
      <c r="C296">
        <v>2</v>
      </c>
      <c r="D296" t="s">
        <v>988</v>
      </c>
      <c r="E296" t="s">
        <v>34</v>
      </c>
      <c r="F296">
        <v>18</v>
      </c>
      <c r="G296">
        <v>71</v>
      </c>
      <c r="H296" t="s">
        <v>118</v>
      </c>
      <c r="I296">
        <v>0</v>
      </c>
      <c r="J296" t="s">
        <v>2</v>
      </c>
      <c r="K296" t="s">
        <v>1426</v>
      </c>
      <c r="L296" t="str">
        <f>IFERROR(IF(VALUE(tblRace2024[[#This Row],[Position]])=1,"Yes","No"),"No")</f>
        <v>No</v>
      </c>
      <c r="M296">
        <v>2024</v>
      </c>
    </row>
    <row r="297" spans="1:13" hidden="1" x14ac:dyDescent="0.45">
      <c r="A297" t="s">
        <v>809</v>
      </c>
      <c r="B297" t="s">
        <v>163</v>
      </c>
      <c r="C297">
        <v>22</v>
      </c>
      <c r="D297" t="s">
        <v>66</v>
      </c>
      <c r="E297" t="s">
        <v>979</v>
      </c>
      <c r="F297">
        <v>11</v>
      </c>
      <c r="G297">
        <v>71</v>
      </c>
      <c r="H297" t="s">
        <v>118</v>
      </c>
      <c r="I297">
        <v>0</v>
      </c>
      <c r="J297" t="s">
        <v>2</v>
      </c>
      <c r="K297" t="s">
        <v>1427</v>
      </c>
      <c r="L297" t="str">
        <f>IFERROR(IF(VALUE(tblRace2024[[#This Row],[Position]])=1,"Yes","No"),"No")</f>
        <v>No</v>
      </c>
      <c r="M297">
        <v>2024</v>
      </c>
    </row>
    <row r="298" spans="1:13" hidden="1" x14ac:dyDescent="0.45">
      <c r="A298" t="s">
        <v>809</v>
      </c>
      <c r="B298" t="s">
        <v>166</v>
      </c>
      <c r="C298">
        <v>20</v>
      </c>
      <c r="D298" t="s">
        <v>976</v>
      </c>
      <c r="E298" t="s">
        <v>72</v>
      </c>
      <c r="F298">
        <v>20</v>
      </c>
      <c r="G298">
        <v>71</v>
      </c>
      <c r="H298" t="s">
        <v>118</v>
      </c>
      <c r="I298">
        <v>0</v>
      </c>
      <c r="J298" t="s">
        <v>2</v>
      </c>
      <c r="K298" t="s">
        <v>1428</v>
      </c>
      <c r="L298" t="str">
        <f>IFERROR(IF(VALUE(tblRace2024[[#This Row],[Position]])=1,"Yes","No"),"No")</f>
        <v>No</v>
      </c>
      <c r="M298">
        <v>2024</v>
      </c>
    </row>
    <row r="299" spans="1:13" hidden="1" x14ac:dyDescent="0.45">
      <c r="A299" t="s">
        <v>809</v>
      </c>
      <c r="B299" t="s">
        <v>169</v>
      </c>
      <c r="C299">
        <v>77</v>
      </c>
      <c r="D299" t="s">
        <v>986</v>
      </c>
      <c r="E299" t="s">
        <v>44</v>
      </c>
      <c r="F299">
        <v>16</v>
      </c>
      <c r="G299">
        <v>70</v>
      </c>
      <c r="H299" t="s">
        <v>331</v>
      </c>
      <c r="I299">
        <v>0</v>
      </c>
      <c r="J299" t="s">
        <v>2</v>
      </c>
      <c r="K299" t="s">
        <v>1429</v>
      </c>
      <c r="L299" t="str">
        <f>IFERROR(IF(VALUE(tblRace2024[[#This Row],[Position]])=1,"Yes","No"),"No")</f>
        <v>No</v>
      </c>
      <c r="M299">
        <v>2024</v>
      </c>
    </row>
    <row r="300" spans="1:13" hidden="1" x14ac:dyDescent="0.45">
      <c r="A300" t="s">
        <v>809</v>
      </c>
      <c r="B300" t="s">
        <v>172</v>
      </c>
      <c r="C300">
        <v>24</v>
      </c>
      <c r="D300" t="s">
        <v>974</v>
      </c>
      <c r="E300" t="s">
        <v>44</v>
      </c>
      <c r="F300">
        <v>17</v>
      </c>
      <c r="G300">
        <v>70</v>
      </c>
      <c r="H300" t="s">
        <v>331</v>
      </c>
      <c r="I300">
        <v>0</v>
      </c>
      <c r="J300" t="s">
        <v>2</v>
      </c>
      <c r="K300" t="s">
        <v>1430</v>
      </c>
      <c r="L300" t="str">
        <f>IFERROR(IF(VALUE(tblRace2024[[#This Row],[Position]])=1,"Yes","No"),"No")</f>
        <v>No</v>
      </c>
      <c r="M300">
        <v>2024</v>
      </c>
    </row>
    <row r="301" spans="1:13" hidden="1" x14ac:dyDescent="0.45">
      <c r="A301" t="s">
        <v>804</v>
      </c>
      <c r="B301" t="s">
        <v>12</v>
      </c>
      <c r="C301">
        <v>16</v>
      </c>
      <c r="D301" t="s">
        <v>48</v>
      </c>
      <c r="E301" t="s">
        <v>49</v>
      </c>
      <c r="F301">
        <v>4</v>
      </c>
      <c r="G301">
        <v>53</v>
      </c>
      <c r="H301" t="s">
        <v>1431</v>
      </c>
      <c r="I301">
        <v>25</v>
      </c>
      <c r="J301" t="s">
        <v>2</v>
      </c>
      <c r="K301" t="s">
        <v>1432</v>
      </c>
      <c r="L301" t="str">
        <f>IFERROR(IF(VALUE(tblRace2024[[#This Row],[Position]])=1,"Yes","No"),"No")</f>
        <v>Yes</v>
      </c>
      <c r="M301">
        <v>2024</v>
      </c>
    </row>
    <row r="302" spans="1:13" hidden="1" x14ac:dyDescent="0.45">
      <c r="A302" t="s">
        <v>804</v>
      </c>
      <c r="B302" t="s">
        <v>18</v>
      </c>
      <c r="C302">
        <v>81</v>
      </c>
      <c r="D302" t="s">
        <v>53</v>
      </c>
      <c r="E302" t="s">
        <v>14</v>
      </c>
      <c r="F302">
        <v>2</v>
      </c>
      <c r="G302">
        <v>53</v>
      </c>
      <c r="H302" t="s">
        <v>1433</v>
      </c>
      <c r="I302">
        <v>18</v>
      </c>
      <c r="J302" t="s">
        <v>2</v>
      </c>
      <c r="K302" t="s">
        <v>1434</v>
      </c>
      <c r="L302" t="str">
        <f>IFERROR(IF(VALUE(tblRace2024[[#This Row],[Position]])=1,"Yes","No"),"No")</f>
        <v>No</v>
      </c>
      <c r="M302">
        <v>2024</v>
      </c>
    </row>
    <row r="303" spans="1:13" hidden="1" x14ac:dyDescent="0.45">
      <c r="A303" t="s">
        <v>804</v>
      </c>
      <c r="B303" t="s">
        <v>23</v>
      </c>
      <c r="C303">
        <v>4</v>
      </c>
      <c r="D303" t="s">
        <v>13</v>
      </c>
      <c r="E303" t="s">
        <v>14</v>
      </c>
      <c r="F303">
        <v>1</v>
      </c>
      <c r="G303">
        <v>53</v>
      </c>
      <c r="H303" t="s">
        <v>1435</v>
      </c>
      <c r="I303">
        <v>16</v>
      </c>
      <c r="J303" t="s">
        <v>16</v>
      </c>
      <c r="K303" t="s">
        <v>1436</v>
      </c>
      <c r="L303" t="str">
        <f>IFERROR(IF(VALUE(tblRace2024[[#This Row],[Position]])=1,"Yes","No"),"No")</f>
        <v>No</v>
      </c>
      <c r="M303">
        <v>2024</v>
      </c>
    </row>
    <row r="304" spans="1:13" hidden="1" x14ac:dyDescent="0.45">
      <c r="A304" t="s">
        <v>804</v>
      </c>
      <c r="B304" t="s">
        <v>28</v>
      </c>
      <c r="C304">
        <v>55</v>
      </c>
      <c r="D304" t="s">
        <v>87</v>
      </c>
      <c r="E304" t="s">
        <v>49</v>
      </c>
      <c r="F304">
        <v>5</v>
      </c>
      <c r="G304">
        <v>53</v>
      </c>
      <c r="H304" t="s">
        <v>1437</v>
      </c>
      <c r="I304">
        <v>12</v>
      </c>
      <c r="J304" t="s">
        <v>2</v>
      </c>
      <c r="K304" t="s">
        <v>1438</v>
      </c>
      <c r="L304" t="str">
        <f>IFERROR(IF(VALUE(tblRace2024[[#This Row],[Position]])=1,"Yes","No"),"No")</f>
        <v>No</v>
      </c>
      <c r="M304">
        <v>2024</v>
      </c>
    </row>
    <row r="305" spans="1:13" hidden="1" x14ac:dyDescent="0.45">
      <c r="A305" t="s">
        <v>804</v>
      </c>
      <c r="B305" t="s">
        <v>32</v>
      </c>
      <c r="C305">
        <v>44</v>
      </c>
      <c r="D305" t="s">
        <v>57</v>
      </c>
      <c r="E305" t="s">
        <v>25</v>
      </c>
      <c r="F305">
        <v>6</v>
      </c>
      <c r="G305">
        <v>53</v>
      </c>
      <c r="H305" t="s">
        <v>1439</v>
      </c>
      <c r="I305">
        <v>10</v>
      </c>
      <c r="J305" t="s">
        <v>2</v>
      </c>
      <c r="K305" t="s">
        <v>1440</v>
      </c>
      <c r="L305" t="str">
        <f>IFERROR(IF(VALUE(tblRace2024[[#This Row],[Position]])=1,"Yes","No"),"No")</f>
        <v>No</v>
      </c>
      <c r="M305">
        <v>2024</v>
      </c>
    </row>
    <row r="306" spans="1:13" hidden="1" x14ac:dyDescent="0.45">
      <c r="A306" t="s">
        <v>804</v>
      </c>
      <c r="B306" t="s">
        <v>37</v>
      </c>
      <c r="C306">
        <v>1</v>
      </c>
      <c r="D306" t="s">
        <v>19</v>
      </c>
      <c r="E306" t="s">
        <v>20</v>
      </c>
      <c r="F306">
        <v>7</v>
      </c>
      <c r="G306">
        <v>53</v>
      </c>
      <c r="H306" t="s">
        <v>1441</v>
      </c>
      <c r="I306">
        <v>8</v>
      </c>
      <c r="J306" t="s">
        <v>2</v>
      </c>
      <c r="K306" t="s">
        <v>1442</v>
      </c>
      <c r="L306" t="str">
        <f>IFERROR(IF(VALUE(tblRace2024[[#This Row],[Position]])=1,"Yes","No"),"No")</f>
        <v>No</v>
      </c>
      <c r="M306">
        <v>2024</v>
      </c>
    </row>
    <row r="307" spans="1:13" hidden="1" x14ac:dyDescent="0.45">
      <c r="A307" t="s">
        <v>804</v>
      </c>
      <c r="B307" t="s">
        <v>42</v>
      </c>
      <c r="C307">
        <v>63</v>
      </c>
      <c r="D307" t="s">
        <v>24</v>
      </c>
      <c r="E307" t="s">
        <v>25</v>
      </c>
      <c r="F307">
        <v>3</v>
      </c>
      <c r="G307">
        <v>53</v>
      </c>
      <c r="H307" t="s">
        <v>1443</v>
      </c>
      <c r="I307">
        <v>6</v>
      </c>
      <c r="J307" t="s">
        <v>2</v>
      </c>
      <c r="K307" t="s">
        <v>1444</v>
      </c>
      <c r="L307" t="str">
        <f>IFERROR(IF(VALUE(tblRace2024[[#This Row],[Position]])=1,"Yes","No"),"No")</f>
        <v>No</v>
      </c>
      <c r="M307">
        <v>2024</v>
      </c>
    </row>
    <row r="308" spans="1:13" hidden="1" x14ac:dyDescent="0.45">
      <c r="A308" t="s">
        <v>804</v>
      </c>
      <c r="B308" t="s">
        <v>47</v>
      </c>
      <c r="C308">
        <v>11</v>
      </c>
      <c r="D308" t="s">
        <v>955</v>
      </c>
      <c r="E308" t="s">
        <v>20</v>
      </c>
      <c r="F308">
        <v>8</v>
      </c>
      <c r="G308">
        <v>53</v>
      </c>
      <c r="H308" t="s">
        <v>1445</v>
      </c>
      <c r="I308">
        <v>4</v>
      </c>
      <c r="J308" t="s">
        <v>2</v>
      </c>
      <c r="K308" t="s">
        <v>1446</v>
      </c>
      <c r="L308" t="str">
        <f>IFERROR(IF(VALUE(tblRace2024[[#This Row],[Position]])=1,"Yes","No"),"No")</f>
        <v>No</v>
      </c>
      <c r="M308">
        <v>2024</v>
      </c>
    </row>
    <row r="309" spans="1:13" hidden="1" x14ac:dyDescent="0.45">
      <c r="A309" t="s">
        <v>804</v>
      </c>
      <c r="B309" t="s">
        <v>52</v>
      </c>
      <c r="C309">
        <v>23</v>
      </c>
      <c r="D309" t="s">
        <v>33</v>
      </c>
      <c r="E309" t="s">
        <v>34</v>
      </c>
      <c r="F309">
        <v>9</v>
      </c>
      <c r="G309">
        <v>53</v>
      </c>
      <c r="H309" t="s">
        <v>1447</v>
      </c>
      <c r="I309">
        <v>2</v>
      </c>
      <c r="J309" t="s">
        <v>2</v>
      </c>
      <c r="K309" t="s">
        <v>1448</v>
      </c>
      <c r="L309" t="str">
        <f>IFERROR(IF(VALUE(tblRace2024[[#This Row],[Position]])=1,"Yes","No"),"No")</f>
        <v>No</v>
      </c>
      <c r="M309">
        <v>2024</v>
      </c>
    </row>
    <row r="310" spans="1:13" hidden="1" x14ac:dyDescent="0.45">
      <c r="A310" t="s">
        <v>804</v>
      </c>
      <c r="B310" t="s">
        <v>56</v>
      </c>
      <c r="C310">
        <v>20</v>
      </c>
      <c r="D310" t="s">
        <v>976</v>
      </c>
      <c r="E310" t="s">
        <v>72</v>
      </c>
      <c r="F310">
        <v>13</v>
      </c>
      <c r="G310">
        <v>53</v>
      </c>
      <c r="H310" t="s">
        <v>1449</v>
      </c>
      <c r="I310">
        <v>1</v>
      </c>
      <c r="J310" t="s">
        <v>2</v>
      </c>
      <c r="K310" t="s">
        <v>1450</v>
      </c>
      <c r="L310" t="str">
        <f>IFERROR(IF(VALUE(tblRace2024[[#This Row],[Position]])=1,"Yes","No"),"No")</f>
        <v>No</v>
      </c>
      <c r="M310">
        <v>2024</v>
      </c>
    </row>
    <row r="311" spans="1:13" hidden="1" x14ac:dyDescent="0.45">
      <c r="A311" t="s">
        <v>804</v>
      </c>
      <c r="B311" t="s">
        <v>60</v>
      </c>
      <c r="C311">
        <v>14</v>
      </c>
      <c r="D311" t="s">
        <v>85</v>
      </c>
      <c r="E311" t="s">
        <v>39</v>
      </c>
      <c r="F311">
        <v>11</v>
      </c>
      <c r="G311">
        <v>53</v>
      </c>
      <c r="H311" t="s">
        <v>1451</v>
      </c>
      <c r="I311">
        <v>0</v>
      </c>
      <c r="J311" t="s">
        <v>2</v>
      </c>
      <c r="K311" t="s">
        <v>1452</v>
      </c>
      <c r="L311" t="str">
        <f>IFERROR(IF(VALUE(tblRace2024[[#This Row],[Position]])=1,"Yes","No"),"No")</f>
        <v>No</v>
      </c>
      <c r="M311">
        <v>2024</v>
      </c>
    </row>
    <row r="312" spans="1:13" hidden="1" x14ac:dyDescent="0.45">
      <c r="A312" t="s">
        <v>804</v>
      </c>
      <c r="B312" t="s">
        <v>65</v>
      </c>
      <c r="C312">
        <v>43</v>
      </c>
      <c r="D312" t="s">
        <v>308</v>
      </c>
      <c r="E312" t="s">
        <v>34</v>
      </c>
      <c r="F312">
        <v>18</v>
      </c>
      <c r="G312">
        <v>53</v>
      </c>
      <c r="H312" t="s">
        <v>1453</v>
      </c>
      <c r="I312">
        <v>0</v>
      </c>
      <c r="J312" t="s">
        <v>2</v>
      </c>
      <c r="K312" t="s">
        <v>1454</v>
      </c>
      <c r="L312" t="str">
        <f>IFERROR(IF(VALUE(tblRace2024[[#This Row],[Position]])=1,"Yes","No"),"No")</f>
        <v>No</v>
      </c>
      <c r="M312">
        <v>2024</v>
      </c>
    </row>
    <row r="313" spans="1:13" hidden="1" x14ac:dyDescent="0.45">
      <c r="A313" t="s">
        <v>804</v>
      </c>
      <c r="B313" t="s">
        <v>70</v>
      </c>
      <c r="C313">
        <v>3</v>
      </c>
      <c r="D313" t="s">
        <v>978</v>
      </c>
      <c r="E313" t="s">
        <v>979</v>
      </c>
      <c r="F313">
        <v>12</v>
      </c>
      <c r="G313">
        <v>53</v>
      </c>
      <c r="H313" t="s">
        <v>1455</v>
      </c>
      <c r="I313">
        <v>0</v>
      </c>
      <c r="J313" t="s">
        <v>2</v>
      </c>
      <c r="K313" t="s">
        <v>1456</v>
      </c>
      <c r="L313" t="str">
        <f>IFERROR(IF(VALUE(tblRace2024[[#This Row],[Position]])=1,"Yes","No"),"No")</f>
        <v>No</v>
      </c>
      <c r="M313">
        <v>2024</v>
      </c>
    </row>
    <row r="314" spans="1:13" hidden="1" x14ac:dyDescent="0.45">
      <c r="A314" t="s">
        <v>804</v>
      </c>
      <c r="B314" t="s">
        <v>75</v>
      </c>
      <c r="C314">
        <v>31</v>
      </c>
      <c r="D314" t="s">
        <v>71</v>
      </c>
      <c r="E314" t="s">
        <v>62</v>
      </c>
      <c r="F314">
        <v>15</v>
      </c>
      <c r="G314">
        <v>52</v>
      </c>
      <c r="H314" t="s">
        <v>118</v>
      </c>
      <c r="I314">
        <v>0</v>
      </c>
      <c r="J314" t="s">
        <v>2</v>
      </c>
      <c r="K314" t="s">
        <v>1457</v>
      </c>
      <c r="L314" t="str">
        <f>IFERROR(IF(VALUE(tblRace2024[[#This Row],[Position]])=1,"Yes","No"),"No")</f>
        <v>No</v>
      </c>
      <c r="M314">
        <v>2024</v>
      </c>
    </row>
    <row r="315" spans="1:13" hidden="1" x14ac:dyDescent="0.45">
      <c r="A315" t="s">
        <v>804</v>
      </c>
      <c r="B315" t="s">
        <v>120</v>
      </c>
      <c r="C315">
        <v>10</v>
      </c>
      <c r="D315" t="s">
        <v>61</v>
      </c>
      <c r="E315" t="s">
        <v>62</v>
      </c>
      <c r="F315">
        <v>14</v>
      </c>
      <c r="G315">
        <v>52</v>
      </c>
      <c r="H315" t="s">
        <v>118</v>
      </c>
      <c r="I315">
        <v>0</v>
      </c>
      <c r="J315" t="s">
        <v>2</v>
      </c>
      <c r="K315" t="s">
        <v>1458</v>
      </c>
      <c r="L315" t="str">
        <f>IFERROR(IF(VALUE(tblRace2024[[#This Row],[Position]])=1,"Yes","No"),"No")</f>
        <v>No</v>
      </c>
      <c r="M315">
        <v>2024</v>
      </c>
    </row>
    <row r="316" spans="1:13" hidden="1" x14ac:dyDescent="0.45">
      <c r="A316" t="s">
        <v>804</v>
      </c>
      <c r="B316" t="s">
        <v>122</v>
      </c>
      <c r="C316">
        <v>77</v>
      </c>
      <c r="D316" t="s">
        <v>986</v>
      </c>
      <c r="E316" t="s">
        <v>44</v>
      </c>
      <c r="F316">
        <v>19</v>
      </c>
      <c r="G316">
        <v>52</v>
      </c>
      <c r="H316" t="s">
        <v>118</v>
      </c>
      <c r="I316">
        <v>0</v>
      </c>
      <c r="J316" t="s">
        <v>2</v>
      </c>
      <c r="K316" t="s">
        <v>1459</v>
      </c>
      <c r="L316" t="str">
        <f>IFERROR(IF(VALUE(tblRace2024[[#This Row],[Position]])=1,"Yes","No"),"No")</f>
        <v>No</v>
      </c>
      <c r="M316">
        <v>2024</v>
      </c>
    </row>
    <row r="317" spans="1:13" hidden="1" x14ac:dyDescent="0.45">
      <c r="A317" t="s">
        <v>804</v>
      </c>
      <c r="B317" t="s">
        <v>163</v>
      </c>
      <c r="C317">
        <v>27</v>
      </c>
      <c r="D317" t="s">
        <v>43</v>
      </c>
      <c r="E317" t="s">
        <v>72</v>
      </c>
      <c r="F317">
        <v>10</v>
      </c>
      <c r="G317">
        <v>52</v>
      </c>
      <c r="H317" t="s">
        <v>118</v>
      </c>
      <c r="I317">
        <v>0</v>
      </c>
      <c r="J317" t="s">
        <v>2</v>
      </c>
      <c r="K317" t="s">
        <v>1460</v>
      </c>
      <c r="L317" t="str">
        <f>IFERROR(IF(VALUE(tblRace2024[[#This Row],[Position]])=1,"Yes","No"),"No")</f>
        <v>No</v>
      </c>
      <c r="M317">
        <v>2024</v>
      </c>
    </row>
    <row r="318" spans="1:13" hidden="1" x14ac:dyDescent="0.45">
      <c r="A318" t="s">
        <v>804</v>
      </c>
      <c r="B318" t="s">
        <v>166</v>
      </c>
      <c r="C318">
        <v>24</v>
      </c>
      <c r="D318" t="s">
        <v>974</v>
      </c>
      <c r="E318" t="s">
        <v>44</v>
      </c>
      <c r="F318">
        <v>20</v>
      </c>
      <c r="G318">
        <v>52</v>
      </c>
      <c r="H318" t="s">
        <v>118</v>
      </c>
      <c r="I318">
        <v>0</v>
      </c>
      <c r="J318" t="s">
        <v>2</v>
      </c>
      <c r="K318" t="s">
        <v>1461</v>
      </c>
      <c r="L318" t="str">
        <f>IFERROR(IF(VALUE(tblRace2024[[#This Row],[Position]])=1,"Yes","No"),"No")</f>
        <v>No</v>
      </c>
      <c r="M318">
        <v>2024</v>
      </c>
    </row>
    <row r="319" spans="1:13" hidden="1" x14ac:dyDescent="0.45">
      <c r="A319" t="s">
        <v>804</v>
      </c>
      <c r="B319" t="s">
        <v>169</v>
      </c>
      <c r="C319">
        <v>18</v>
      </c>
      <c r="D319" t="s">
        <v>38</v>
      </c>
      <c r="E319" t="s">
        <v>39</v>
      </c>
      <c r="F319">
        <v>17</v>
      </c>
      <c r="G319">
        <v>52</v>
      </c>
      <c r="H319" t="s">
        <v>118</v>
      </c>
      <c r="I319">
        <v>0</v>
      </c>
      <c r="J319" t="s">
        <v>2</v>
      </c>
      <c r="K319" t="s">
        <v>1462</v>
      </c>
      <c r="L319" t="str">
        <f>IFERROR(IF(VALUE(tblRace2024[[#This Row],[Position]])=1,"Yes","No"),"No")</f>
        <v>No</v>
      </c>
      <c r="M319">
        <v>2024</v>
      </c>
    </row>
    <row r="320" spans="1:13" hidden="1" x14ac:dyDescent="0.45">
      <c r="A320" t="s">
        <v>804</v>
      </c>
      <c r="B320" t="s">
        <v>79</v>
      </c>
      <c r="C320">
        <v>22</v>
      </c>
      <c r="D320" t="s">
        <v>66</v>
      </c>
      <c r="E320" t="s">
        <v>979</v>
      </c>
      <c r="F320">
        <v>16</v>
      </c>
      <c r="G320">
        <v>7</v>
      </c>
      <c r="H320" t="s">
        <v>81</v>
      </c>
      <c r="I320">
        <v>0</v>
      </c>
      <c r="J320" t="s">
        <v>2</v>
      </c>
      <c r="K320" t="s">
        <v>1463</v>
      </c>
      <c r="L320" t="str">
        <f>IFERROR(IF(VALUE(tblRace2024[[#This Row],[Position]])=1,"Yes","No"),"No")</f>
        <v>No</v>
      </c>
      <c r="M320">
        <v>2024</v>
      </c>
    </row>
    <row r="321" spans="1:13" hidden="1" x14ac:dyDescent="0.45">
      <c r="A321" t="s">
        <v>1464</v>
      </c>
      <c r="B321" t="s">
        <v>12</v>
      </c>
      <c r="C321">
        <v>81</v>
      </c>
      <c r="D321" t="s">
        <v>53</v>
      </c>
      <c r="E321" t="s">
        <v>14</v>
      </c>
      <c r="F321">
        <v>2</v>
      </c>
      <c r="G321">
        <v>51</v>
      </c>
      <c r="H321" t="s">
        <v>1465</v>
      </c>
      <c r="I321">
        <v>25</v>
      </c>
      <c r="J321" t="s">
        <v>2</v>
      </c>
      <c r="K321" t="s">
        <v>1466</v>
      </c>
      <c r="L321" t="str">
        <f>IFERROR(IF(VALUE(tblRace2024[[#This Row],[Position]])=1,"Yes","No"),"No")</f>
        <v>Yes</v>
      </c>
      <c r="M321">
        <v>2024</v>
      </c>
    </row>
    <row r="322" spans="1:13" hidden="1" x14ac:dyDescent="0.45">
      <c r="A322" t="s">
        <v>1464</v>
      </c>
      <c r="B322" t="s">
        <v>18</v>
      </c>
      <c r="C322">
        <v>16</v>
      </c>
      <c r="D322" t="s">
        <v>48</v>
      </c>
      <c r="E322" t="s">
        <v>49</v>
      </c>
      <c r="F322">
        <v>1</v>
      </c>
      <c r="G322">
        <v>51</v>
      </c>
      <c r="H322" t="s">
        <v>1467</v>
      </c>
      <c r="I322">
        <v>18</v>
      </c>
      <c r="J322" t="s">
        <v>2</v>
      </c>
      <c r="K322" t="s">
        <v>1468</v>
      </c>
      <c r="L322" t="str">
        <f>IFERROR(IF(VALUE(tblRace2024[[#This Row],[Position]])=1,"Yes","No"),"No")</f>
        <v>No</v>
      </c>
      <c r="M322">
        <v>2024</v>
      </c>
    </row>
    <row r="323" spans="1:13" hidden="1" x14ac:dyDescent="0.45">
      <c r="A323" t="s">
        <v>1464</v>
      </c>
      <c r="B323" t="s">
        <v>23</v>
      </c>
      <c r="C323">
        <v>63</v>
      </c>
      <c r="D323" t="s">
        <v>24</v>
      </c>
      <c r="E323" t="s">
        <v>25</v>
      </c>
      <c r="F323">
        <v>5</v>
      </c>
      <c r="G323">
        <v>51</v>
      </c>
      <c r="H323" t="s">
        <v>1469</v>
      </c>
      <c r="I323">
        <v>15</v>
      </c>
      <c r="J323" t="s">
        <v>2</v>
      </c>
      <c r="K323" t="s">
        <v>1470</v>
      </c>
      <c r="L323" t="str">
        <f>IFERROR(IF(VALUE(tblRace2024[[#This Row],[Position]])=1,"Yes","No"),"No")</f>
        <v>No</v>
      </c>
      <c r="M323">
        <v>2024</v>
      </c>
    </row>
    <row r="324" spans="1:13" hidden="1" x14ac:dyDescent="0.45">
      <c r="A324" t="s">
        <v>1464</v>
      </c>
      <c r="B324" t="s">
        <v>28</v>
      </c>
      <c r="C324">
        <v>4</v>
      </c>
      <c r="D324" t="s">
        <v>13</v>
      </c>
      <c r="E324" t="s">
        <v>14</v>
      </c>
      <c r="F324">
        <v>15</v>
      </c>
      <c r="G324">
        <v>51</v>
      </c>
      <c r="H324" t="s">
        <v>1471</v>
      </c>
      <c r="I324">
        <v>13</v>
      </c>
      <c r="J324" t="s">
        <v>16</v>
      </c>
      <c r="K324" t="s">
        <v>1472</v>
      </c>
      <c r="L324" t="str">
        <f>IFERROR(IF(VALUE(tblRace2024[[#This Row],[Position]])=1,"Yes","No"),"No")</f>
        <v>No</v>
      </c>
      <c r="M324">
        <v>2024</v>
      </c>
    </row>
    <row r="325" spans="1:13" hidden="1" x14ac:dyDescent="0.45">
      <c r="A325" t="s">
        <v>1464</v>
      </c>
      <c r="B325" t="s">
        <v>32</v>
      </c>
      <c r="C325">
        <v>1</v>
      </c>
      <c r="D325" t="s">
        <v>19</v>
      </c>
      <c r="E325" t="s">
        <v>20</v>
      </c>
      <c r="F325">
        <v>6</v>
      </c>
      <c r="G325">
        <v>51</v>
      </c>
      <c r="H325" t="s">
        <v>1473</v>
      </c>
      <c r="I325">
        <v>10</v>
      </c>
      <c r="J325" t="s">
        <v>2</v>
      </c>
      <c r="K325" t="s">
        <v>1474</v>
      </c>
      <c r="L325" t="str">
        <f>IFERROR(IF(VALUE(tblRace2024[[#This Row],[Position]])=1,"Yes","No"),"No")</f>
        <v>No</v>
      </c>
      <c r="M325">
        <v>2024</v>
      </c>
    </row>
    <row r="326" spans="1:13" hidden="1" x14ac:dyDescent="0.45">
      <c r="A326" t="s">
        <v>1464</v>
      </c>
      <c r="B326" t="s">
        <v>37</v>
      </c>
      <c r="C326">
        <v>14</v>
      </c>
      <c r="D326" t="s">
        <v>85</v>
      </c>
      <c r="E326" t="s">
        <v>39</v>
      </c>
      <c r="F326">
        <v>7</v>
      </c>
      <c r="G326">
        <v>51</v>
      </c>
      <c r="H326" t="s">
        <v>1475</v>
      </c>
      <c r="I326">
        <v>8</v>
      </c>
      <c r="J326" t="s">
        <v>2</v>
      </c>
      <c r="K326" t="s">
        <v>1476</v>
      </c>
      <c r="L326" t="str">
        <f>IFERROR(IF(VALUE(tblRace2024[[#This Row],[Position]])=1,"Yes","No"),"No")</f>
        <v>No</v>
      </c>
      <c r="M326">
        <v>2024</v>
      </c>
    </row>
    <row r="327" spans="1:13" hidden="1" x14ac:dyDescent="0.45">
      <c r="A327" t="s">
        <v>1464</v>
      </c>
      <c r="B327" t="s">
        <v>42</v>
      </c>
      <c r="C327">
        <v>23</v>
      </c>
      <c r="D327" t="s">
        <v>33</v>
      </c>
      <c r="E327" t="s">
        <v>34</v>
      </c>
      <c r="F327">
        <v>9</v>
      </c>
      <c r="G327">
        <v>51</v>
      </c>
      <c r="H327" t="s">
        <v>1477</v>
      </c>
      <c r="I327">
        <v>6</v>
      </c>
      <c r="J327" t="s">
        <v>2</v>
      </c>
      <c r="K327" t="s">
        <v>1478</v>
      </c>
      <c r="L327" t="str">
        <f>IFERROR(IF(VALUE(tblRace2024[[#This Row],[Position]])=1,"Yes","No"),"No")</f>
        <v>No</v>
      </c>
      <c r="M327">
        <v>2024</v>
      </c>
    </row>
    <row r="328" spans="1:13" hidden="1" x14ac:dyDescent="0.45">
      <c r="A328" t="s">
        <v>1464</v>
      </c>
      <c r="B328" t="s">
        <v>47</v>
      </c>
      <c r="C328">
        <v>43</v>
      </c>
      <c r="D328" t="s">
        <v>308</v>
      </c>
      <c r="E328" t="s">
        <v>34</v>
      </c>
      <c r="F328">
        <v>8</v>
      </c>
      <c r="G328">
        <v>51</v>
      </c>
      <c r="H328" t="s">
        <v>1479</v>
      </c>
      <c r="I328">
        <v>4</v>
      </c>
      <c r="J328" t="s">
        <v>2</v>
      </c>
      <c r="K328" t="s">
        <v>1480</v>
      </c>
      <c r="L328" t="str">
        <f>IFERROR(IF(VALUE(tblRace2024[[#This Row],[Position]])=1,"Yes","No"),"No")</f>
        <v>No</v>
      </c>
      <c r="M328">
        <v>2024</v>
      </c>
    </row>
    <row r="329" spans="1:13" hidden="1" x14ac:dyDescent="0.45">
      <c r="A329" t="s">
        <v>1464</v>
      </c>
      <c r="B329" t="s">
        <v>52</v>
      </c>
      <c r="C329">
        <v>44</v>
      </c>
      <c r="D329" t="s">
        <v>57</v>
      </c>
      <c r="E329" t="s">
        <v>25</v>
      </c>
      <c r="F329">
        <v>19</v>
      </c>
      <c r="G329">
        <v>51</v>
      </c>
      <c r="H329" t="s">
        <v>1481</v>
      </c>
      <c r="I329">
        <v>2</v>
      </c>
      <c r="J329" t="s">
        <v>2</v>
      </c>
      <c r="K329" t="s">
        <v>1482</v>
      </c>
      <c r="L329" t="str">
        <f>IFERROR(IF(VALUE(tblRace2024[[#This Row],[Position]])=1,"Yes","No"),"No")</f>
        <v>No</v>
      </c>
      <c r="M329">
        <v>2024</v>
      </c>
    </row>
    <row r="330" spans="1:13" hidden="1" x14ac:dyDescent="0.45">
      <c r="A330" t="s">
        <v>1464</v>
      </c>
      <c r="B330" t="s">
        <v>56</v>
      </c>
      <c r="C330">
        <v>50</v>
      </c>
      <c r="D330" t="s">
        <v>76</v>
      </c>
      <c r="E330" t="s">
        <v>72</v>
      </c>
      <c r="F330">
        <v>10</v>
      </c>
      <c r="G330">
        <v>51</v>
      </c>
      <c r="H330" t="s">
        <v>1483</v>
      </c>
      <c r="I330">
        <v>1</v>
      </c>
      <c r="J330" t="s">
        <v>2</v>
      </c>
      <c r="K330" t="s">
        <v>1484</v>
      </c>
      <c r="L330" t="str">
        <f>IFERROR(IF(VALUE(tblRace2024[[#This Row],[Position]])=1,"Yes","No"),"No")</f>
        <v>No</v>
      </c>
      <c r="M330">
        <v>2024</v>
      </c>
    </row>
    <row r="331" spans="1:13" hidden="1" x14ac:dyDescent="0.45">
      <c r="A331" t="s">
        <v>1464</v>
      </c>
      <c r="B331" t="s">
        <v>60</v>
      </c>
      <c r="C331">
        <v>27</v>
      </c>
      <c r="D331" t="s">
        <v>43</v>
      </c>
      <c r="E331" t="s">
        <v>72</v>
      </c>
      <c r="F331">
        <v>12</v>
      </c>
      <c r="G331">
        <v>51</v>
      </c>
      <c r="H331" t="s">
        <v>1485</v>
      </c>
      <c r="I331">
        <v>0</v>
      </c>
      <c r="J331" t="s">
        <v>2</v>
      </c>
      <c r="K331" t="s">
        <v>1486</v>
      </c>
      <c r="L331" t="str">
        <f>IFERROR(IF(VALUE(tblRace2024[[#This Row],[Position]])=1,"Yes","No"),"No")</f>
        <v>No</v>
      </c>
      <c r="M331">
        <v>2024</v>
      </c>
    </row>
    <row r="332" spans="1:13" hidden="1" x14ac:dyDescent="0.45">
      <c r="A332" t="s">
        <v>1464</v>
      </c>
      <c r="B332" t="s">
        <v>65</v>
      </c>
      <c r="C332">
        <v>10</v>
      </c>
      <c r="D332" t="s">
        <v>61</v>
      </c>
      <c r="E332" t="s">
        <v>62</v>
      </c>
      <c r="F332">
        <v>18</v>
      </c>
      <c r="G332">
        <v>51</v>
      </c>
      <c r="H332" t="s">
        <v>1487</v>
      </c>
      <c r="I332">
        <v>0</v>
      </c>
      <c r="J332" t="s">
        <v>2</v>
      </c>
      <c r="K332" t="s">
        <v>1488</v>
      </c>
      <c r="L332" t="str">
        <f>IFERROR(IF(VALUE(tblRace2024[[#This Row],[Position]])=1,"Yes","No"),"No")</f>
        <v>No</v>
      </c>
      <c r="M332">
        <v>2024</v>
      </c>
    </row>
    <row r="333" spans="1:13" hidden="1" x14ac:dyDescent="0.45">
      <c r="A333" t="s">
        <v>1464</v>
      </c>
      <c r="B333" t="s">
        <v>70</v>
      </c>
      <c r="C333">
        <v>3</v>
      </c>
      <c r="D333" t="s">
        <v>978</v>
      </c>
      <c r="E333" t="s">
        <v>979</v>
      </c>
      <c r="F333">
        <v>14</v>
      </c>
      <c r="G333">
        <v>51</v>
      </c>
      <c r="H333" t="s">
        <v>1489</v>
      </c>
      <c r="I333">
        <v>0</v>
      </c>
      <c r="J333" t="s">
        <v>2</v>
      </c>
      <c r="K333" t="s">
        <v>1490</v>
      </c>
      <c r="L333" t="str">
        <f>IFERROR(IF(VALUE(tblRace2024[[#This Row],[Position]])=1,"Yes","No"),"No")</f>
        <v>No</v>
      </c>
      <c r="M333">
        <v>2024</v>
      </c>
    </row>
    <row r="334" spans="1:13" hidden="1" x14ac:dyDescent="0.45">
      <c r="A334" t="s">
        <v>1464</v>
      </c>
      <c r="B334" t="s">
        <v>75</v>
      </c>
      <c r="C334">
        <v>24</v>
      </c>
      <c r="D334" t="s">
        <v>974</v>
      </c>
      <c r="E334" t="s">
        <v>44</v>
      </c>
      <c r="F334">
        <v>17</v>
      </c>
      <c r="G334">
        <v>51</v>
      </c>
      <c r="H334" t="s">
        <v>1491</v>
      </c>
      <c r="I334">
        <v>0</v>
      </c>
      <c r="J334" t="s">
        <v>2</v>
      </c>
      <c r="K334" t="s">
        <v>1492</v>
      </c>
      <c r="L334" t="str">
        <f>IFERROR(IF(VALUE(tblRace2024[[#This Row],[Position]])=1,"Yes","No"),"No")</f>
        <v>No</v>
      </c>
      <c r="M334">
        <v>2024</v>
      </c>
    </row>
    <row r="335" spans="1:13" hidden="1" x14ac:dyDescent="0.45">
      <c r="A335" t="s">
        <v>1464</v>
      </c>
      <c r="B335" t="s">
        <v>120</v>
      </c>
      <c r="C335">
        <v>31</v>
      </c>
      <c r="D335" t="s">
        <v>71</v>
      </c>
      <c r="E335" t="s">
        <v>62</v>
      </c>
      <c r="F335">
        <v>20</v>
      </c>
      <c r="G335">
        <v>50</v>
      </c>
      <c r="H335" t="s">
        <v>118</v>
      </c>
      <c r="I335">
        <v>0</v>
      </c>
      <c r="J335" t="s">
        <v>2</v>
      </c>
      <c r="K335" t="s">
        <v>1493</v>
      </c>
      <c r="L335" t="str">
        <f>IFERROR(IF(VALUE(tblRace2024[[#This Row],[Position]])=1,"Yes","No"),"No")</f>
        <v>No</v>
      </c>
      <c r="M335">
        <v>2024</v>
      </c>
    </row>
    <row r="336" spans="1:13" hidden="1" x14ac:dyDescent="0.45">
      <c r="A336" t="s">
        <v>1464</v>
      </c>
      <c r="B336" t="s">
        <v>122</v>
      </c>
      <c r="C336">
        <v>77</v>
      </c>
      <c r="D336" t="s">
        <v>986</v>
      </c>
      <c r="E336" t="s">
        <v>44</v>
      </c>
      <c r="F336">
        <v>16</v>
      </c>
      <c r="G336">
        <v>50</v>
      </c>
      <c r="H336" t="s">
        <v>118</v>
      </c>
      <c r="I336">
        <v>0</v>
      </c>
      <c r="J336" t="s">
        <v>2</v>
      </c>
      <c r="K336" t="s">
        <v>1494</v>
      </c>
      <c r="L336" t="str">
        <f>IFERROR(IF(VALUE(tblRace2024[[#This Row],[Position]])=1,"Yes","No"),"No")</f>
        <v>No</v>
      </c>
      <c r="M336">
        <v>2024</v>
      </c>
    </row>
    <row r="337" spans="1:13" hidden="1" x14ac:dyDescent="0.45">
      <c r="A337" t="s">
        <v>1464</v>
      </c>
      <c r="B337" t="s">
        <v>163</v>
      </c>
      <c r="C337">
        <v>11</v>
      </c>
      <c r="D337" t="s">
        <v>955</v>
      </c>
      <c r="E337" t="s">
        <v>20</v>
      </c>
      <c r="F337">
        <v>4</v>
      </c>
      <c r="G337">
        <v>49</v>
      </c>
      <c r="H337" t="s">
        <v>81</v>
      </c>
      <c r="I337">
        <v>0</v>
      </c>
      <c r="J337" t="s">
        <v>2</v>
      </c>
      <c r="K337" t="s">
        <v>1372</v>
      </c>
      <c r="L337" t="str">
        <f>IFERROR(IF(VALUE(tblRace2024[[#This Row],[Position]])=1,"Yes","No"),"No")</f>
        <v>No</v>
      </c>
      <c r="M337">
        <v>2024</v>
      </c>
    </row>
    <row r="338" spans="1:13" hidden="1" x14ac:dyDescent="0.45">
      <c r="A338" t="s">
        <v>1464</v>
      </c>
      <c r="B338" t="s">
        <v>166</v>
      </c>
      <c r="C338">
        <v>55</v>
      </c>
      <c r="D338" t="s">
        <v>87</v>
      </c>
      <c r="E338" t="s">
        <v>49</v>
      </c>
      <c r="F338">
        <v>3</v>
      </c>
      <c r="G338">
        <v>49</v>
      </c>
      <c r="H338" t="s">
        <v>81</v>
      </c>
      <c r="I338">
        <v>0</v>
      </c>
      <c r="J338" t="s">
        <v>2</v>
      </c>
      <c r="K338" t="s">
        <v>1495</v>
      </c>
      <c r="L338" t="str">
        <f>IFERROR(IF(VALUE(tblRace2024[[#This Row],[Position]])=1,"Yes","No"),"No")</f>
        <v>No</v>
      </c>
      <c r="M338">
        <v>2024</v>
      </c>
    </row>
    <row r="339" spans="1:13" hidden="1" x14ac:dyDescent="0.45">
      <c r="A339" t="s">
        <v>1464</v>
      </c>
      <c r="B339" t="s">
        <v>169</v>
      </c>
      <c r="C339">
        <v>18</v>
      </c>
      <c r="D339" t="s">
        <v>38</v>
      </c>
      <c r="E339" t="s">
        <v>39</v>
      </c>
      <c r="F339">
        <v>13</v>
      </c>
      <c r="G339">
        <v>45</v>
      </c>
      <c r="H339" t="s">
        <v>81</v>
      </c>
      <c r="I339">
        <v>0</v>
      </c>
      <c r="J339" t="s">
        <v>2</v>
      </c>
      <c r="K339" t="s">
        <v>1496</v>
      </c>
      <c r="L339" t="str">
        <f>IFERROR(IF(VALUE(tblRace2024[[#This Row],[Position]])=1,"Yes","No"),"No")</f>
        <v>No</v>
      </c>
      <c r="M339">
        <v>2024</v>
      </c>
    </row>
    <row r="340" spans="1:13" hidden="1" x14ac:dyDescent="0.45">
      <c r="A340" t="s">
        <v>1464</v>
      </c>
      <c r="B340" t="s">
        <v>79</v>
      </c>
      <c r="C340">
        <v>22</v>
      </c>
      <c r="D340" t="s">
        <v>66</v>
      </c>
      <c r="E340" t="s">
        <v>979</v>
      </c>
      <c r="F340">
        <v>11</v>
      </c>
      <c r="G340">
        <v>14</v>
      </c>
      <c r="H340" t="s">
        <v>81</v>
      </c>
      <c r="I340">
        <v>0</v>
      </c>
      <c r="J340" t="s">
        <v>2</v>
      </c>
      <c r="K340" t="s">
        <v>1497</v>
      </c>
      <c r="L340" t="str">
        <f>IFERROR(IF(VALUE(tblRace2024[[#This Row],[Position]])=1,"Yes","No"),"No")</f>
        <v>No</v>
      </c>
      <c r="M340">
        <v>2024</v>
      </c>
    </row>
    <row r="341" spans="1:13" hidden="1" x14ac:dyDescent="0.45">
      <c r="A341" t="s">
        <v>1498</v>
      </c>
      <c r="B341" t="s">
        <v>12</v>
      </c>
      <c r="C341">
        <v>4</v>
      </c>
      <c r="D341" t="s">
        <v>13</v>
      </c>
      <c r="E341" t="s">
        <v>14</v>
      </c>
      <c r="F341">
        <v>1</v>
      </c>
      <c r="G341">
        <v>62</v>
      </c>
      <c r="H341" t="s">
        <v>1499</v>
      </c>
      <c r="I341">
        <v>25</v>
      </c>
      <c r="J341" t="s">
        <v>2</v>
      </c>
      <c r="K341" t="s">
        <v>1500</v>
      </c>
      <c r="L341" t="str">
        <f>IFERROR(IF(VALUE(tblRace2024[[#This Row],[Position]])=1,"Yes","No"),"No")</f>
        <v>Yes</v>
      </c>
      <c r="M341">
        <v>2024</v>
      </c>
    </row>
    <row r="342" spans="1:13" hidden="1" x14ac:dyDescent="0.45">
      <c r="A342" t="s">
        <v>1498</v>
      </c>
      <c r="B342" t="s">
        <v>18</v>
      </c>
      <c r="C342">
        <v>1</v>
      </c>
      <c r="D342" t="s">
        <v>19</v>
      </c>
      <c r="E342" t="s">
        <v>20</v>
      </c>
      <c r="F342">
        <v>2</v>
      </c>
      <c r="G342">
        <v>62</v>
      </c>
      <c r="H342" t="s">
        <v>1501</v>
      </c>
      <c r="I342">
        <v>18</v>
      </c>
      <c r="J342" t="s">
        <v>2</v>
      </c>
      <c r="K342" t="s">
        <v>1502</v>
      </c>
      <c r="L342" t="str">
        <f>IFERROR(IF(VALUE(tblRace2024[[#This Row],[Position]])=1,"Yes","No"),"No")</f>
        <v>No</v>
      </c>
      <c r="M342">
        <v>2024</v>
      </c>
    </row>
    <row r="343" spans="1:13" hidden="1" x14ac:dyDescent="0.45">
      <c r="A343" t="s">
        <v>1498</v>
      </c>
      <c r="B343" t="s">
        <v>23</v>
      </c>
      <c r="C343">
        <v>81</v>
      </c>
      <c r="D343" t="s">
        <v>53</v>
      </c>
      <c r="E343" t="s">
        <v>14</v>
      </c>
      <c r="F343">
        <v>5</v>
      </c>
      <c r="G343">
        <v>62</v>
      </c>
      <c r="H343" t="s">
        <v>1503</v>
      </c>
      <c r="I343">
        <v>15</v>
      </c>
      <c r="J343" t="s">
        <v>2</v>
      </c>
      <c r="K343" t="s">
        <v>1504</v>
      </c>
      <c r="L343" t="str">
        <f>IFERROR(IF(VALUE(tblRace2024[[#This Row],[Position]])=1,"Yes","No"),"No")</f>
        <v>No</v>
      </c>
      <c r="M343">
        <v>2024</v>
      </c>
    </row>
    <row r="344" spans="1:13" hidden="1" x14ac:dyDescent="0.45">
      <c r="A344" t="s">
        <v>1498</v>
      </c>
      <c r="B344" t="s">
        <v>28</v>
      </c>
      <c r="C344">
        <v>63</v>
      </c>
      <c r="D344" t="s">
        <v>24</v>
      </c>
      <c r="E344" t="s">
        <v>25</v>
      </c>
      <c r="F344">
        <v>4</v>
      </c>
      <c r="G344">
        <v>62</v>
      </c>
      <c r="H344" t="s">
        <v>1505</v>
      </c>
      <c r="I344">
        <v>12</v>
      </c>
      <c r="J344" t="s">
        <v>2</v>
      </c>
      <c r="K344" t="s">
        <v>1506</v>
      </c>
      <c r="L344" t="str">
        <f>IFERROR(IF(VALUE(tblRace2024[[#This Row],[Position]])=1,"Yes","No"),"No")</f>
        <v>No</v>
      </c>
      <c r="M344">
        <v>2024</v>
      </c>
    </row>
    <row r="345" spans="1:13" hidden="1" x14ac:dyDescent="0.45">
      <c r="A345" t="s">
        <v>1498</v>
      </c>
      <c r="B345" t="s">
        <v>32</v>
      </c>
      <c r="C345">
        <v>16</v>
      </c>
      <c r="D345" t="s">
        <v>48</v>
      </c>
      <c r="E345" t="s">
        <v>49</v>
      </c>
      <c r="F345">
        <v>9</v>
      </c>
      <c r="G345">
        <v>62</v>
      </c>
      <c r="H345" t="s">
        <v>1507</v>
      </c>
      <c r="I345">
        <v>10</v>
      </c>
      <c r="J345" t="s">
        <v>2</v>
      </c>
      <c r="K345" t="s">
        <v>1508</v>
      </c>
      <c r="L345" t="str">
        <f>IFERROR(IF(VALUE(tblRace2024[[#This Row],[Position]])=1,"Yes","No"),"No")</f>
        <v>No</v>
      </c>
      <c r="M345">
        <v>2024</v>
      </c>
    </row>
    <row r="346" spans="1:13" hidden="1" x14ac:dyDescent="0.45">
      <c r="A346" t="s">
        <v>1498</v>
      </c>
      <c r="B346" t="s">
        <v>37</v>
      </c>
      <c r="C346">
        <v>44</v>
      </c>
      <c r="D346" t="s">
        <v>57</v>
      </c>
      <c r="E346" t="s">
        <v>25</v>
      </c>
      <c r="F346">
        <v>3</v>
      </c>
      <c r="G346">
        <v>62</v>
      </c>
      <c r="H346" t="s">
        <v>1509</v>
      </c>
      <c r="I346">
        <v>8</v>
      </c>
      <c r="J346" t="s">
        <v>2</v>
      </c>
      <c r="K346" t="s">
        <v>1510</v>
      </c>
      <c r="L346" t="str">
        <f>IFERROR(IF(VALUE(tblRace2024[[#This Row],[Position]])=1,"Yes","No"),"No")</f>
        <v>No</v>
      </c>
      <c r="M346">
        <v>2024</v>
      </c>
    </row>
    <row r="347" spans="1:13" hidden="1" x14ac:dyDescent="0.45">
      <c r="A347" t="s">
        <v>1498</v>
      </c>
      <c r="B347" t="s">
        <v>42</v>
      </c>
      <c r="C347">
        <v>55</v>
      </c>
      <c r="D347" t="s">
        <v>87</v>
      </c>
      <c r="E347" t="s">
        <v>49</v>
      </c>
      <c r="F347">
        <v>10</v>
      </c>
      <c r="G347">
        <v>62</v>
      </c>
      <c r="H347" t="s">
        <v>1511</v>
      </c>
      <c r="I347">
        <v>6</v>
      </c>
      <c r="J347" t="s">
        <v>2</v>
      </c>
      <c r="K347" t="s">
        <v>1512</v>
      </c>
      <c r="L347" t="str">
        <f>IFERROR(IF(VALUE(tblRace2024[[#This Row],[Position]])=1,"Yes","No"),"No")</f>
        <v>No</v>
      </c>
      <c r="M347">
        <v>2024</v>
      </c>
    </row>
    <row r="348" spans="1:13" hidden="1" x14ac:dyDescent="0.45">
      <c r="A348" t="s">
        <v>1498</v>
      </c>
      <c r="B348" t="s">
        <v>47</v>
      </c>
      <c r="C348">
        <v>14</v>
      </c>
      <c r="D348" t="s">
        <v>85</v>
      </c>
      <c r="E348" t="s">
        <v>39</v>
      </c>
      <c r="F348">
        <v>7</v>
      </c>
      <c r="G348">
        <v>61</v>
      </c>
      <c r="H348" t="s">
        <v>118</v>
      </c>
      <c r="I348">
        <v>4</v>
      </c>
      <c r="J348" t="s">
        <v>2</v>
      </c>
      <c r="K348" t="s">
        <v>1513</v>
      </c>
      <c r="L348" t="str">
        <f>IFERROR(IF(VALUE(tblRace2024[[#This Row],[Position]])=1,"Yes","No"),"No")</f>
        <v>No</v>
      </c>
      <c r="M348">
        <v>2024</v>
      </c>
    </row>
    <row r="349" spans="1:13" hidden="1" x14ac:dyDescent="0.45">
      <c r="A349" t="s">
        <v>1498</v>
      </c>
      <c r="B349" t="s">
        <v>52</v>
      </c>
      <c r="C349">
        <v>27</v>
      </c>
      <c r="D349" t="s">
        <v>43</v>
      </c>
      <c r="E349" t="s">
        <v>72</v>
      </c>
      <c r="F349">
        <v>6</v>
      </c>
      <c r="G349">
        <v>61</v>
      </c>
      <c r="H349" t="s">
        <v>118</v>
      </c>
      <c r="I349">
        <v>2</v>
      </c>
      <c r="J349" t="s">
        <v>2</v>
      </c>
      <c r="K349" t="s">
        <v>1514</v>
      </c>
      <c r="L349" t="str">
        <f>IFERROR(IF(VALUE(tblRace2024[[#This Row],[Position]])=1,"Yes","No"),"No")</f>
        <v>No</v>
      </c>
      <c r="M349">
        <v>2024</v>
      </c>
    </row>
    <row r="350" spans="1:13" hidden="1" x14ac:dyDescent="0.45">
      <c r="A350" t="s">
        <v>1498</v>
      </c>
      <c r="B350" t="s">
        <v>56</v>
      </c>
      <c r="C350">
        <v>11</v>
      </c>
      <c r="D350" t="s">
        <v>955</v>
      </c>
      <c r="E350" t="s">
        <v>20</v>
      </c>
      <c r="F350">
        <v>13</v>
      </c>
      <c r="G350">
        <v>61</v>
      </c>
      <c r="H350" t="s">
        <v>118</v>
      </c>
      <c r="I350">
        <v>1</v>
      </c>
      <c r="J350" t="s">
        <v>2</v>
      </c>
      <c r="K350" t="s">
        <v>1515</v>
      </c>
      <c r="L350" t="str">
        <f>IFERROR(IF(VALUE(tblRace2024[[#This Row],[Position]])=1,"Yes","No"),"No")</f>
        <v>No</v>
      </c>
      <c r="M350">
        <v>2024</v>
      </c>
    </row>
    <row r="351" spans="1:13" hidden="1" x14ac:dyDescent="0.45">
      <c r="A351" t="s">
        <v>1498</v>
      </c>
      <c r="B351" t="s">
        <v>60</v>
      </c>
      <c r="C351">
        <v>43</v>
      </c>
      <c r="D351" t="s">
        <v>308</v>
      </c>
      <c r="E351" t="s">
        <v>34</v>
      </c>
      <c r="F351">
        <v>12</v>
      </c>
      <c r="G351">
        <v>61</v>
      </c>
      <c r="H351" t="s">
        <v>118</v>
      </c>
      <c r="I351">
        <v>0</v>
      </c>
      <c r="J351" t="s">
        <v>2</v>
      </c>
      <c r="K351" t="s">
        <v>1516</v>
      </c>
      <c r="L351" t="str">
        <f>IFERROR(IF(VALUE(tblRace2024[[#This Row],[Position]])=1,"Yes","No"),"No")</f>
        <v>No</v>
      </c>
      <c r="M351">
        <v>2024</v>
      </c>
    </row>
    <row r="352" spans="1:13" hidden="1" x14ac:dyDescent="0.45">
      <c r="A352" t="s">
        <v>1498</v>
      </c>
      <c r="B352" t="s">
        <v>65</v>
      </c>
      <c r="C352">
        <v>22</v>
      </c>
      <c r="D352" t="s">
        <v>66</v>
      </c>
      <c r="E352" t="s">
        <v>979</v>
      </c>
      <c r="F352">
        <v>8</v>
      </c>
      <c r="G352">
        <v>61</v>
      </c>
      <c r="H352" t="s">
        <v>118</v>
      </c>
      <c r="I352">
        <v>0</v>
      </c>
      <c r="J352" t="s">
        <v>2</v>
      </c>
      <c r="K352" t="s">
        <v>1517</v>
      </c>
      <c r="L352" t="str">
        <f>IFERROR(IF(VALUE(tblRace2024[[#This Row],[Position]])=1,"Yes","No"),"No")</f>
        <v>No</v>
      </c>
      <c r="M352">
        <v>2024</v>
      </c>
    </row>
    <row r="353" spans="1:13" hidden="1" x14ac:dyDescent="0.45">
      <c r="A353" t="s">
        <v>1498</v>
      </c>
      <c r="B353" t="s">
        <v>70</v>
      </c>
      <c r="C353">
        <v>31</v>
      </c>
      <c r="D353" t="s">
        <v>71</v>
      </c>
      <c r="E353" t="s">
        <v>62</v>
      </c>
      <c r="F353">
        <v>15</v>
      </c>
      <c r="G353">
        <v>61</v>
      </c>
      <c r="H353" t="s">
        <v>118</v>
      </c>
      <c r="I353">
        <v>0</v>
      </c>
      <c r="J353" t="s">
        <v>2</v>
      </c>
      <c r="K353" t="s">
        <v>1518</v>
      </c>
      <c r="L353" t="str">
        <f>IFERROR(IF(VALUE(tblRace2024[[#This Row],[Position]])=1,"Yes","No"),"No")</f>
        <v>No</v>
      </c>
      <c r="M353">
        <v>2024</v>
      </c>
    </row>
    <row r="354" spans="1:13" hidden="1" x14ac:dyDescent="0.45">
      <c r="A354" t="s">
        <v>1498</v>
      </c>
      <c r="B354" t="s">
        <v>75</v>
      </c>
      <c r="C354">
        <v>18</v>
      </c>
      <c r="D354" t="s">
        <v>38</v>
      </c>
      <c r="E354" t="s">
        <v>39</v>
      </c>
      <c r="F354">
        <v>17</v>
      </c>
      <c r="G354">
        <v>61</v>
      </c>
      <c r="H354" t="s">
        <v>118</v>
      </c>
      <c r="I354">
        <v>0</v>
      </c>
      <c r="J354" t="s">
        <v>2</v>
      </c>
      <c r="K354" t="s">
        <v>1519</v>
      </c>
      <c r="L354" t="str">
        <f>IFERROR(IF(VALUE(tblRace2024[[#This Row],[Position]])=1,"Yes","No"),"No")</f>
        <v>No</v>
      </c>
      <c r="M354">
        <v>2024</v>
      </c>
    </row>
    <row r="355" spans="1:13" hidden="1" x14ac:dyDescent="0.45">
      <c r="A355" t="s">
        <v>1498</v>
      </c>
      <c r="B355" t="s">
        <v>120</v>
      </c>
      <c r="C355">
        <v>24</v>
      </c>
      <c r="D355" t="s">
        <v>974</v>
      </c>
      <c r="E355" t="s">
        <v>44</v>
      </c>
      <c r="F355">
        <v>20</v>
      </c>
      <c r="G355">
        <v>61</v>
      </c>
      <c r="H355" t="s">
        <v>118</v>
      </c>
      <c r="I355">
        <v>0</v>
      </c>
      <c r="J355" t="s">
        <v>2</v>
      </c>
      <c r="K355" t="s">
        <v>1520</v>
      </c>
      <c r="L355" t="str">
        <f>IFERROR(IF(VALUE(tblRace2024[[#This Row],[Position]])=1,"Yes","No"),"No")</f>
        <v>No</v>
      </c>
      <c r="M355">
        <v>2024</v>
      </c>
    </row>
    <row r="356" spans="1:13" hidden="1" x14ac:dyDescent="0.45">
      <c r="A356" t="s">
        <v>1498</v>
      </c>
      <c r="B356" t="s">
        <v>122</v>
      </c>
      <c r="C356">
        <v>77</v>
      </c>
      <c r="D356" t="s">
        <v>986</v>
      </c>
      <c r="E356" t="s">
        <v>44</v>
      </c>
      <c r="F356">
        <v>19</v>
      </c>
      <c r="G356">
        <v>61</v>
      </c>
      <c r="H356" t="s">
        <v>118</v>
      </c>
      <c r="I356">
        <v>0</v>
      </c>
      <c r="J356" t="s">
        <v>2</v>
      </c>
      <c r="K356" t="s">
        <v>1521</v>
      </c>
      <c r="L356" t="str">
        <f>IFERROR(IF(VALUE(tblRace2024[[#This Row],[Position]])=1,"Yes","No"),"No")</f>
        <v>No</v>
      </c>
      <c r="M356">
        <v>2024</v>
      </c>
    </row>
    <row r="357" spans="1:13" hidden="1" x14ac:dyDescent="0.45">
      <c r="A357" t="s">
        <v>1498</v>
      </c>
      <c r="B357" t="s">
        <v>163</v>
      </c>
      <c r="C357">
        <v>10</v>
      </c>
      <c r="D357" t="s">
        <v>61</v>
      </c>
      <c r="E357" t="s">
        <v>62</v>
      </c>
      <c r="F357">
        <v>18</v>
      </c>
      <c r="G357">
        <v>61</v>
      </c>
      <c r="H357" t="s">
        <v>118</v>
      </c>
      <c r="I357">
        <v>0</v>
      </c>
      <c r="J357" t="s">
        <v>2</v>
      </c>
      <c r="K357" t="s">
        <v>1522</v>
      </c>
      <c r="L357" t="str">
        <f>IFERROR(IF(VALUE(tblRace2024[[#This Row],[Position]])=1,"Yes","No"),"No")</f>
        <v>No</v>
      </c>
      <c r="M357">
        <v>2024</v>
      </c>
    </row>
    <row r="358" spans="1:13" hidden="1" x14ac:dyDescent="0.45">
      <c r="A358" t="s">
        <v>1498</v>
      </c>
      <c r="B358" t="s">
        <v>166</v>
      </c>
      <c r="C358">
        <v>3</v>
      </c>
      <c r="D358" t="s">
        <v>978</v>
      </c>
      <c r="E358" t="s">
        <v>979</v>
      </c>
      <c r="F358">
        <v>16</v>
      </c>
      <c r="G358">
        <v>61</v>
      </c>
      <c r="H358" t="s">
        <v>118</v>
      </c>
      <c r="I358">
        <v>0</v>
      </c>
      <c r="J358" t="s">
        <v>16</v>
      </c>
      <c r="K358" t="s">
        <v>1523</v>
      </c>
      <c r="L358" t="str">
        <f>IFERROR(IF(VALUE(tblRace2024[[#This Row],[Position]])=1,"Yes","No"),"No")</f>
        <v>No</v>
      </c>
      <c r="M358">
        <v>2024</v>
      </c>
    </row>
    <row r="359" spans="1:13" hidden="1" x14ac:dyDescent="0.45">
      <c r="A359" t="s">
        <v>1498</v>
      </c>
      <c r="B359" t="s">
        <v>169</v>
      </c>
      <c r="C359">
        <v>20</v>
      </c>
      <c r="D359" t="s">
        <v>976</v>
      </c>
      <c r="E359" t="s">
        <v>72</v>
      </c>
      <c r="F359">
        <v>14</v>
      </c>
      <c r="G359">
        <v>57</v>
      </c>
      <c r="H359" t="s">
        <v>81</v>
      </c>
      <c r="I359">
        <v>0</v>
      </c>
      <c r="J359" t="s">
        <v>2</v>
      </c>
      <c r="K359" t="s">
        <v>1524</v>
      </c>
      <c r="L359" t="str">
        <f>IFERROR(IF(VALUE(tblRace2024[[#This Row],[Position]])=1,"Yes","No"),"No")</f>
        <v>No</v>
      </c>
      <c r="M359">
        <v>2024</v>
      </c>
    </row>
    <row r="360" spans="1:13" hidden="1" x14ac:dyDescent="0.45">
      <c r="A360" t="s">
        <v>1498</v>
      </c>
      <c r="B360" t="s">
        <v>79</v>
      </c>
      <c r="C360">
        <v>23</v>
      </c>
      <c r="D360" t="s">
        <v>33</v>
      </c>
      <c r="E360" t="s">
        <v>34</v>
      </c>
      <c r="F360">
        <v>11</v>
      </c>
      <c r="G360">
        <v>15</v>
      </c>
      <c r="H360" t="s">
        <v>81</v>
      </c>
      <c r="I360">
        <v>0</v>
      </c>
      <c r="J360" t="s">
        <v>2</v>
      </c>
      <c r="K360" t="s">
        <v>1525</v>
      </c>
      <c r="L360" t="str">
        <f>IFERROR(IF(VALUE(tblRace2024[[#This Row],[Position]])=1,"Yes","No"),"No")</f>
        <v>No</v>
      </c>
      <c r="M360">
        <v>2024</v>
      </c>
    </row>
    <row r="361" spans="1:13" hidden="1" x14ac:dyDescent="0.45">
      <c r="A361" t="s">
        <v>1526</v>
      </c>
      <c r="B361" t="s">
        <v>12</v>
      </c>
      <c r="C361">
        <v>16</v>
      </c>
      <c r="D361" t="s">
        <v>48</v>
      </c>
      <c r="E361" t="s">
        <v>49</v>
      </c>
      <c r="F361">
        <v>4</v>
      </c>
      <c r="G361">
        <v>56</v>
      </c>
      <c r="H361" t="s">
        <v>1527</v>
      </c>
      <c r="I361">
        <v>25</v>
      </c>
      <c r="J361" t="s">
        <v>2</v>
      </c>
      <c r="K361" t="s">
        <v>1528</v>
      </c>
      <c r="L361" t="str">
        <f>IFERROR(IF(VALUE(tblRace2024[[#This Row],[Position]])=1,"Yes","No"),"No")</f>
        <v>Yes</v>
      </c>
      <c r="M361">
        <v>2024</v>
      </c>
    </row>
    <row r="362" spans="1:13" hidden="1" x14ac:dyDescent="0.45">
      <c r="A362" t="s">
        <v>1526</v>
      </c>
      <c r="B362" t="s">
        <v>18</v>
      </c>
      <c r="C362">
        <v>55</v>
      </c>
      <c r="D362" t="s">
        <v>87</v>
      </c>
      <c r="E362" t="s">
        <v>49</v>
      </c>
      <c r="F362">
        <v>3</v>
      </c>
      <c r="G362">
        <v>56</v>
      </c>
      <c r="H362" t="s">
        <v>1529</v>
      </c>
      <c r="I362">
        <v>18</v>
      </c>
      <c r="J362" t="s">
        <v>2</v>
      </c>
      <c r="K362" t="s">
        <v>1530</v>
      </c>
      <c r="L362" t="str">
        <f>IFERROR(IF(VALUE(tblRace2024[[#This Row],[Position]])=1,"Yes","No"),"No")</f>
        <v>No</v>
      </c>
      <c r="M362">
        <v>2024</v>
      </c>
    </row>
    <row r="363" spans="1:13" hidden="1" x14ac:dyDescent="0.45">
      <c r="A363" t="s">
        <v>1526</v>
      </c>
      <c r="B363" t="s">
        <v>23</v>
      </c>
      <c r="C363">
        <v>1</v>
      </c>
      <c r="D363" t="s">
        <v>19</v>
      </c>
      <c r="E363" t="s">
        <v>20</v>
      </c>
      <c r="F363">
        <v>2</v>
      </c>
      <c r="G363">
        <v>56</v>
      </c>
      <c r="H363" t="s">
        <v>1531</v>
      </c>
      <c r="I363">
        <v>15</v>
      </c>
      <c r="J363" t="s">
        <v>2</v>
      </c>
      <c r="K363" t="s">
        <v>1532</v>
      </c>
      <c r="L363" t="str">
        <f>IFERROR(IF(VALUE(tblRace2024[[#This Row],[Position]])=1,"Yes","No"),"No")</f>
        <v>No</v>
      </c>
      <c r="M363">
        <v>2024</v>
      </c>
    </row>
    <row r="364" spans="1:13" hidden="1" x14ac:dyDescent="0.45">
      <c r="A364" t="s">
        <v>1526</v>
      </c>
      <c r="B364" t="s">
        <v>28</v>
      </c>
      <c r="C364">
        <v>4</v>
      </c>
      <c r="D364" t="s">
        <v>13</v>
      </c>
      <c r="E364" t="s">
        <v>14</v>
      </c>
      <c r="F364">
        <v>1</v>
      </c>
      <c r="G364">
        <v>56</v>
      </c>
      <c r="H364" t="s">
        <v>1533</v>
      </c>
      <c r="I364">
        <v>12</v>
      </c>
      <c r="J364" t="s">
        <v>2</v>
      </c>
      <c r="K364" t="s">
        <v>1534</v>
      </c>
      <c r="L364" t="str">
        <f>IFERROR(IF(VALUE(tblRace2024[[#This Row],[Position]])=1,"Yes","No"),"No")</f>
        <v>No</v>
      </c>
      <c r="M364">
        <v>2024</v>
      </c>
    </row>
    <row r="365" spans="1:13" hidden="1" x14ac:dyDescent="0.45">
      <c r="A365" t="s">
        <v>1526</v>
      </c>
      <c r="B365" t="s">
        <v>32</v>
      </c>
      <c r="C365">
        <v>81</v>
      </c>
      <c r="D365" t="s">
        <v>53</v>
      </c>
      <c r="E365" t="s">
        <v>14</v>
      </c>
      <c r="F365">
        <v>5</v>
      </c>
      <c r="G365">
        <v>56</v>
      </c>
      <c r="H365" t="s">
        <v>1535</v>
      </c>
      <c r="I365">
        <v>10</v>
      </c>
      <c r="J365" t="s">
        <v>2</v>
      </c>
      <c r="K365" t="s">
        <v>1536</v>
      </c>
      <c r="L365" t="str">
        <f>IFERROR(IF(VALUE(tblRace2024[[#This Row],[Position]])=1,"Yes","No"),"No")</f>
        <v>No</v>
      </c>
      <c r="M365">
        <v>2024</v>
      </c>
    </row>
    <row r="366" spans="1:13" hidden="1" x14ac:dyDescent="0.45">
      <c r="A366" t="s">
        <v>1526</v>
      </c>
      <c r="B366" t="s">
        <v>37</v>
      </c>
      <c r="C366">
        <v>63</v>
      </c>
      <c r="D366" t="s">
        <v>24</v>
      </c>
      <c r="E366" t="s">
        <v>25</v>
      </c>
      <c r="F366">
        <v>20</v>
      </c>
      <c r="G366">
        <v>56</v>
      </c>
      <c r="H366" t="s">
        <v>1537</v>
      </c>
      <c r="I366">
        <v>8</v>
      </c>
      <c r="J366" t="s">
        <v>2</v>
      </c>
      <c r="K366" t="s">
        <v>1538</v>
      </c>
      <c r="L366" t="str">
        <f>IFERROR(IF(VALUE(tblRace2024[[#This Row],[Position]])=1,"Yes","No"),"No")</f>
        <v>No</v>
      </c>
      <c r="M366">
        <v>2024</v>
      </c>
    </row>
    <row r="367" spans="1:13" hidden="1" x14ac:dyDescent="0.45">
      <c r="A367" t="s">
        <v>1526</v>
      </c>
      <c r="B367" t="s">
        <v>42</v>
      </c>
      <c r="C367">
        <v>11</v>
      </c>
      <c r="D367" t="s">
        <v>955</v>
      </c>
      <c r="E367" t="s">
        <v>20</v>
      </c>
      <c r="F367">
        <v>9</v>
      </c>
      <c r="G367">
        <v>56</v>
      </c>
      <c r="H367" t="s">
        <v>1539</v>
      </c>
      <c r="I367">
        <v>6</v>
      </c>
      <c r="J367" t="s">
        <v>2</v>
      </c>
      <c r="K367" t="s">
        <v>1540</v>
      </c>
      <c r="L367" t="str">
        <f>IFERROR(IF(VALUE(tblRace2024[[#This Row],[Position]])=1,"Yes","No"),"No")</f>
        <v>No</v>
      </c>
      <c r="M367">
        <v>2024</v>
      </c>
    </row>
    <row r="368" spans="1:13" hidden="1" x14ac:dyDescent="0.45">
      <c r="A368" t="s">
        <v>1526</v>
      </c>
      <c r="B368" t="s">
        <v>47</v>
      </c>
      <c r="C368">
        <v>27</v>
      </c>
      <c r="D368" t="s">
        <v>43</v>
      </c>
      <c r="E368" t="s">
        <v>72</v>
      </c>
      <c r="F368">
        <v>11</v>
      </c>
      <c r="G368">
        <v>56</v>
      </c>
      <c r="H368" t="s">
        <v>1541</v>
      </c>
      <c r="I368">
        <v>4</v>
      </c>
      <c r="J368" t="s">
        <v>2</v>
      </c>
      <c r="K368" t="s">
        <v>1542</v>
      </c>
      <c r="L368" t="str">
        <f>IFERROR(IF(VALUE(tblRace2024[[#This Row],[Position]])=1,"Yes","No"),"No")</f>
        <v>No</v>
      </c>
      <c r="M368">
        <v>2024</v>
      </c>
    </row>
    <row r="369" spans="1:13" hidden="1" x14ac:dyDescent="0.45">
      <c r="A369" t="s">
        <v>1526</v>
      </c>
      <c r="B369" t="s">
        <v>52</v>
      </c>
      <c r="C369">
        <v>30</v>
      </c>
      <c r="D369" t="s">
        <v>80</v>
      </c>
      <c r="E369" t="s">
        <v>979</v>
      </c>
      <c r="F369">
        <v>19</v>
      </c>
      <c r="G369">
        <v>56</v>
      </c>
      <c r="H369" t="s">
        <v>1543</v>
      </c>
      <c r="I369">
        <v>2</v>
      </c>
      <c r="J369" t="s">
        <v>2</v>
      </c>
      <c r="K369" t="s">
        <v>1544</v>
      </c>
      <c r="L369" t="str">
        <f>IFERROR(IF(VALUE(tblRace2024[[#This Row],[Position]])=1,"Yes","No"),"No")</f>
        <v>No</v>
      </c>
      <c r="M369">
        <v>2024</v>
      </c>
    </row>
    <row r="370" spans="1:13" hidden="1" x14ac:dyDescent="0.45">
      <c r="A370" t="s">
        <v>1526</v>
      </c>
      <c r="B370" t="s">
        <v>56</v>
      </c>
      <c r="C370">
        <v>43</v>
      </c>
      <c r="D370" t="s">
        <v>308</v>
      </c>
      <c r="E370" t="s">
        <v>34</v>
      </c>
      <c r="F370">
        <v>15</v>
      </c>
      <c r="G370">
        <v>56</v>
      </c>
      <c r="H370" t="s">
        <v>1545</v>
      </c>
      <c r="I370">
        <v>1</v>
      </c>
      <c r="J370" t="s">
        <v>2</v>
      </c>
      <c r="K370" t="s">
        <v>1546</v>
      </c>
      <c r="L370" t="str">
        <f>IFERROR(IF(VALUE(tblRace2024[[#This Row],[Position]])=1,"Yes","No"),"No")</f>
        <v>No</v>
      </c>
      <c r="M370">
        <v>2024</v>
      </c>
    </row>
    <row r="371" spans="1:13" hidden="1" x14ac:dyDescent="0.45">
      <c r="A371" t="s">
        <v>1526</v>
      </c>
      <c r="B371" t="s">
        <v>60</v>
      </c>
      <c r="C371">
        <v>20</v>
      </c>
      <c r="D371" t="s">
        <v>976</v>
      </c>
      <c r="E371" t="s">
        <v>72</v>
      </c>
      <c r="F371">
        <v>8</v>
      </c>
      <c r="G371">
        <v>56</v>
      </c>
      <c r="H371" t="s">
        <v>1547</v>
      </c>
      <c r="I371">
        <v>0</v>
      </c>
      <c r="J371" t="s">
        <v>2</v>
      </c>
      <c r="K371" t="s">
        <v>1548</v>
      </c>
      <c r="L371" t="str">
        <f>IFERROR(IF(VALUE(tblRace2024[[#This Row],[Position]])=1,"Yes","No"),"No")</f>
        <v>No</v>
      </c>
      <c r="M371">
        <v>2024</v>
      </c>
    </row>
    <row r="372" spans="1:13" hidden="1" x14ac:dyDescent="0.45">
      <c r="A372" t="s">
        <v>1526</v>
      </c>
      <c r="B372" t="s">
        <v>65</v>
      </c>
      <c r="C372">
        <v>10</v>
      </c>
      <c r="D372" t="s">
        <v>61</v>
      </c>
      <c r="E372" t="s">
        <v>62</v>
      </c>
      <c r="F372">
        <v>6</v>
      </c>
      <c r="G372">
        <v>56</v>
      </c>
      <c r="H372" t="s">
        <v>1549</v>
      </c>
      <c r="I372">
        <v>0</v>
      </c>
      <c r="J372" t="s">
        <v>2</v>
      </c>
      <c r="K372" t="s">
        <v>1550</v>
      </c>
      <c r="L372" t="str">
        <f>IFERROR(IF(VALUE(tblRace2024[[#This Row],[Position]])=1,"Yes","No"),"No")</f>
        <v>No</v>
      </c>
      <c r="M372">
        <v>2024</v>
      </c>
    </row>
    <row r="373" spans="1:13" hidden="1" x14ac:dyDescent="0.45">
      <c r="A373" t="s">
        <v>1526</v>
      </c>
      <c r="B373" t="s">
        <v>70</v>
      </c>
      <c r="C373">
        <v>14</v>
      </c>
      <c r="D373" t="s">
        <v>85</v>
      </c>
      <c r="E373" t="s">
        <v>39</v>
      </c>
      <c r="F373">
        <v>7</v>
      </c>
      <c r="G373">
        <v>55</v>
      </c>
      <c r="H373" t="s">
        <v>118</v>
      </c>
      <c r="I373">
        <v>0</v>
      </c>
      <c r="J373" t="s">
        <v>2</v>
      </c>
      <c r="K373" t="s">
        <v>1551</v>
      </c>
      <c r="L373" t="str">
        <f>IFERROR(IF(VALUE(tblRace2024[[#This Row],[Position]])=1,"Yes","No"),"No")</f>
        <v>No</v>
      </c>
      <c r="M373">
        <v>2024</v>
      </c>
    </row>
    <row r="374" spans="1:13" hidden="1" x14ac:dyDescent="0.45">
      <c r="A374" t="s">
        <v>1526</v>
      </c>
      <c r="B374" t="s">
        <v>75</v>
      </c>
      <c r="C374">
        <v>22</v>
      </c>
      <c r="D374" t="s">
        <v>66</v>
      </c>
      <c r="E374" t="s">
        <v>979</v>
      </c>
      <c r="F374">
        <v>10</v>
      </c>
      <c r="G374">
        <v>55</v>
      </c>
      <c r="H374" t="s">
        <v>118</v>
      </c>
      <c r="I374">
        <v>0</v>
      </c>
      <c r="J374" t="s">
        <v>2</v>
      </c>
      <c r="K374" t="s">
        <v>1552</v>
      </c>
      <c r="L374" t="str">
        <f>IFERROR(IF(VALUE(tblRace2024[[#This Row],[Position]])=1,"Yes","No"),"No")</f>
        <v>No</v>
      </c>
      <c r="M374">
        <v>2024</v>
      </c>
    </row>
    <row r="375" spans="1:13" hidden="1" x14ac:dyDescent="0.45">
      <c r="A375" t="s">
        <v>1526</v>
      </c>
      <c r="B375" t="s">
        <v>120</v>
      </c>
      <c r="C375">
        <v>18</v>
      </c>
      <c r="D375" t="s">
        <v>38</v>
      </c>
      <c r="E375" t="s">
        <v>39</v>
      </c>
      <c r="F375">
        <v>13</v>
      </c>
      <c r="G375">
        <v>55</v>
      </c>
      <c r="H375" t="s">
        <v>118</v>
      </c>
      <c r="I375">
        <v>0</v>
      </c>
      <c r="J375" t="s">
        <v>2</v>
      </c>
      <c r="K375" t="s">
        <v>1553</v>
      </c>
      <c r="L375" t="str">
        <f>IFERROR(IF(VALUE(tblRace2024[[#This Row],[Position]])=1,"Yes","No"),"No")</f>
        <v>No</v>
      </c>
      <c r="M375">
        <v>2024</v>
      </c>
    </row>
    <row r="376" spans="1:13" hidden="1" x14ac:dyDescent="0.45">
      <c r="A376" t="s">
        <v>1526</v>
      </c>
      <c r="B376" t="s">
        <v>122</v>
      </c>
      <c r="C376">
        <v>23</v>
      </c>
      <c r="D376" t="s">
        <v>33</v>
      </c>
      <c r="E376" t="s">
        <v>34</v>
      </c>
      <c r="F376">
        <v>14</v>
      </c>
      <c r="G376">
        <v>55</v>
      </c>
      <c r="H376" t="s">
        <v>118</v>
      </c>
      <c r="I376">
        <v>0</v>
      </c>
      <c r="J376" t="s">
        <v>2</v>
      </c>
      <c r="K376" t="s">
        <v>1554</v>
      </c>
      <c r="L376" t="str">
        <f>IFERROR(IF(VALUE(tblRace2024[[#This Row],[Position]])=1,"Yes","No"),"No")</f>
        <v>No</v>
      </c>
      <c r="M376">
        <v>2024</v>
      </c>
    </row>
    <row r="377" spans="1:13" hidden="1" x14ac:dyDescent="0.45">
      <c r="A377" t="s">
        <v>1526</v>
      </c>
      <c r="B377" t="s">
        <v>163</v>
      </c>
      <c r="C377">
        <v>77</v>
      </c>
      <c r="D377" t="s">
        <v>986</v>
      </c>
      <c r="E377" t="s">
        <v>44</v>
      </c>
      <c r="F377">
        <v>16</v>
      </c>
      <c r="G377">
        <v>55</v>
      </c>
      <c r="H377" t="s">
        <v>118</v>
      </c>
      <c r="I377">
        <v>0</v>
      </c>
      <c r="J377" t="s">
        <v>2</v>
      </c>
      <c r="K377" t="s">
        <v>1555</v>
      </c>
      <c r="L377" t="str">
        <f>IFERROR(IF(VALUE(tblRace2024[[#This Row],[Position]])=1,"Yes","No"),"No")</f>
        <v>No</v>
      </c>
      <c r="M377">
        <v>2024</v>
      </c>
    </row>
    <row r="378" spans="1:13" hidden="1" x14ac:dyDescent="0.45">
      <c r="A378" t="s">
        <v>1526</v>
      </c>
      <c r="B378" t="s">
        <v>166</v>
      </c>
      <c r="C378">
        <v>31</v>
      </c>
      <c r="D378" t="s">
        <v>71</v>
      </c>
      <c r="E378" t="s">
        <v>62</v>
      </c>
      <c r="F378">
        <v>12</v>
      </c>
      <c r="G378">
        <v>55</v>
      </c>
      <c r="H378" t="s">
        <v>118</v>
      </c>
      <c r="I378">
        <v>0</v>
      </c>
      <c r="J378" t="s">
        <v>16</v>
      </c>
      <c r="K378" t="s">
        <v>1556</v>
      </c>
      <c r="L378" t="str">
        <f>IFERROR(IF(VALUE(tblRace2024[[#This Row],[Position]])=1,"Yes","No"),"No")</f>
        <v>No</v>
      </c>
      <c r="M378">
        <v>2024</v>
      </c>
    </row>
    <row r="379" spans="1:13" hidden="1" x14ac:dyDescent="0.45">
      <c r="A379" t="s">
        <v>1526</v>
      </c>
      <c r="B379" t="s">
        <v>169</v>
      </c>
      <c r="C379">
        <v>24</v>
      </c>
      <c r="D379" t="s">
        <v>974</v>
      </c>
      <c r="E379" t="s">
        <v>44</v>
      </c>
      <c r="F379">
        <v>18</v>
      </c>
      <c r="G379">
        <v>55</v>
      </c>
      <c r="H379" t="s">
        <v>118</v>
      </c>
      <c r="I379">
        <v>0</v>
      </c>
      <c r="J379" t="s">
        <v>2</v>
      </c>
      <c r="K379" t="s">
        <v>1557</v>
      </c>
      <c r="L379" t="str">
        <f>IFERROR(IF(VALUE(tblRace2024[[#This Row],[Position]])=1,"Yes","No"),"No")</f>
        <v>No</v>
      </c>
      <c r="M379">
        <v>2024</v>
      </c>
    </row>
    <row r="380" spans="1:13" hidden="1" x14ac:dyDescent="0.45">
      <c r="A380" t="s">
        <v>1526</v>
      </c>
      <c r="B380" t="s">
        <v>79</v>
      </c>
      <c r="C380">
        <v>44</v>
      </c>
      <c r="D380" t="s">
        <v>57</v>
      </c>
      <c r="E380" t="s">
        <v>25</v>
      </c>
      <c r="F380">
        <v>17</v>
      </c>
      <c r="G380">
        <v>1</v>
      </c>
      <c r="H380" t="s">
        <v>81</v>
      </c>
      <c r="I380">
        <v>0</v>
      </c>
      <c r="J380" t="s">
        <v>2</v>
      </c>
      <c r="K380" t="s">
        <v>88</v>
      </c>
      <c r="L380" t="str">
        <f>IFERROR(IF(VALUE(tblRace2024[[#This Row],[Position]])=1,"Yes","No"),"No")</f>
        <v>No</v>
      </c>
      <c r="M380">
        <v>2024</v>
      </c>
    </row>
    <row r="381" spans="1:13" x14ac:dyDescent="0.45">
      <c r="A381" t="s">
        <v>1558</v>
      </c>
      <c r="B381" t="s">
        <v>12</v>
      </c>
      <c r="C381">
        <v>55</v>
      </c>
      <c r="D381" t="s">
        <v>87</v>
      </c>
      <c r="E381" t="s">
        <v>49</v>
      </c>
      <c r="F381">
        <v>1</v>
      </c>
      <c r="G381">
        <v>71</v>
      </c>
      <c r="H381" t="s">
        <v>1559</v>
      </c>
      <c r="I381">
        <v>25</v>
      </c>
      <c r="J381" t="s">
        <v>2</v>
      </c>
      <c r="K381" t="s">
        <v>1560</v>
      </c>
      <c r="L381" t="str">
        <f>IFERROR(IF(VALUE(tblRace2024[[#This Row],[Position]])=1,"Yes","No"),"No")</f>
        <v>Yes</v>
      </c>
      <c r="M381">
        <v>2024</v>
      </c>
    </row>
    <row r="382" spans="1:13" x14ac:dyDescent="0.45">
      <c r="A382" t="s">
        <v>1558</v>
      </c>
      <c r="B382" t="s">
        <v>18</v>
      </c>
      <c r="C382">
        <v>4</v>
      </c>
      <c r="D382" t="s">
        <v>13</v>
      </c>
      <c r="E382" t="s">
        <v>14</v>
      </c>
      <c r="F382">
        <v>3</v>
      </c>
      <c r="G382">
        <v>71</v>
      </c>
      <c r="H382" t="s">
        <v>1561</v>
      </c>
      <c r="I382">
        <v>18</v>
      </c>
      <c r="J382" t="s">
        <v>2</v>
      </c>
      <c r="K382" t="s">
        <v>1562</v>
      </c>
      <c r="L382" t="str">
        <f>IFERROR(IF(VALUE(tblRace2024[[#This Row],[Position]])=1,"Yes","No"),"No")</f>
        <v>No</v>
      </c>
      <c r="M382">
        <v>2024</v>
      </c>
    </row>
    <row r="383" spans="1:13" x14ac:dyDescent="0.45">
      <c r="A383" t="s">
        <v>1558</v>
      </c>
      <c r="B383" t="s">
        <v>23</v>
      </c>
      <c r="C383">
        <v>16</v>
      </c>
      <c r="D383" t="s">
        <v>48</v>
      </c>
      <c r="E383" t="s">
        <v>49</v>
      </c>
      <c r="F383">
        <v>4</v>
      </c>
      <c r="G383">
        <v>71</v>
      </c>
      <c r="H383" t="s">
        <v>1563</v>
      </c>
      <c r="I383">
        <v>16</v>
      </c>
      <c r="J383" t="s">
        <v>16</v>
      </c>
      <c r="K383" t="s">
        <v>1564</v>
      </c>
      <c r="L383" t="str">
        <f>IFERROR(IF(VALUE(tblRace2024[[#This Row],[Position]])=1,"Yes","No"),"No")</f>
        <v>No</v>
      </c>
      <c r="M383">
        <v>2024</v>
      </c>
    </row>
    <row r="384" spans="1:13" x14ac:dyDescent="0.45">
      <c r="A384" t="s">
        <v>1558</v>
      </c>
      <c r="B384" t="s">
        <v>28</v>
      </c>
      <c r="C384">
        <v>44</v>
      </c>
      <c r="D384" t="s">
        <v>57</v>
      </c>
      <c r="E384" t="s">
        <v>25</v>
      </c>
      <c r="F384">
        <v>6</v>
      </c>
      <c r="G384">
        <v>71</v>
      </c>
      <c r="H384" t="s">
        <v>1565</v>
      </c>
      <c r="I384">
        <v>12</v>
      </c>
      <c r="J384" t="s">
        <v>2</v>
      </c>
      <c r="K384" t="s">
        <v>1566</v>
      </c>
      <c r="L384" t="str">
        <f>IFERROR(IF(VALUE(tblRace2024[[#This Row],[Position]])=1,"Yes","No"),"No")</f>
        <v>No</v>
      </c>
      <c r="M384">
        <v>2024</v>
      </c>
    </row>
    <row r="385" spans="1:13" x14ac:dyDescent="0.45">
      <c r="A385" t="s">
        <v>1558</v>
      </c>
      <c r="B385" t="s">
        <v>32</v>
      </c>
      <c r="C385">
        <v>63</v>
      </c>
      <c r="D385" t="s">
        <v>24</v>
      </c>
      <c r="E385" t="s">
        <v>25</v>
      </c>
      <c r="F385">
        <v>5</v>
      </c>
      <c r="G385">
        <v>71</v>
      </c>
      <c r="H385" t="s">
        <v>1567</v>
      </c>
      <c r="I385">
        <v>10</v>
      </c>
      <c r="J385" t="s">
        <v>2</v>
      </c>
      <c r="K385" t="s">
        <v>1568</v>
      </c>
      <c r="L385" t="str">
        <f>IFERROR(IF(VALUE(tblRace2024[[#This Row],[Position]])=1,"Yes","No"),"No")</f>
        <v>No</v>
      </c>
      <c r="M385">
        <v>2024</v>
      </c>
    </row>
    <row r="386" spans="1:13" x14ac:dyDescent="0.45">
      <c r="A386" t="s">
        <v>1558</v>
      </c>
      <c r="B386" t="s">
        <v>37</v>
      </c>
      <c r="C386">
        <v>1</v>
      </c>
      <c r="D386" t="s">
        <v>19</v>
      </c>
      <c r="E386" t="s">
        <v>20</v>
      </c>
      <c r="F386">
        <v>2</v>
      </c>
      <c r="G386">
        <v>71</v>
      </c>
      <c r="H386" t="s">
        <v>1569</v>
      </c>
      <c r="I386">
        <v>8</v>
      </c>
      <c r="J386" t="s">
        <v>2</v>
      </c>
      <c r="K386" t="s">
        <v>1570</v>
      </c>
      <c r="L386" t="str">
        <f>IFERROR(IF(VALUE(tblRace2024[[#This Row],[Position]])=1,"Yes","No"),"No")</f>
        <v>No</v>
      </c>
      <c r="M386">
        <v>2024</v>
      </c>
    </row>
    <row r="387" spans="1:13" x14ac:dyDescent="0.45">
      <c r="A387" t="s">
        <v>1558</v>
      </c>
      <c r="B387" t="s">
        <v>42</v>
      </c>
      <c r="C387">
        <v>20</v>
      </c>
      <c r="D387" t="s">
        <v>976</v>
      </c>
      <c r="E387" t="s">
        <v>72</v>
      </c>
      <c r="F387">
        <v>7</v>
      </c>
      <c r="G387">
        <v>71</v>
      </c>
      <c r="H387" t="s">
        <v>1571</v>
      </c>
      <c r="I387">
        <v>6</v>
      </c>
      <c r="J387" t="s">
        <v>2</v>
      </c>
      <c r="K387" t="s">
        <v>1572</v>
      </c>
      <c r="L387" t="str">
        <f>IFERROR(IF(VALUE(tblRace2024[[#This Row],[Position]])=1,"Yes","No"),"No")</f>
        <v>No</v>
      </c>
      <c r="M387">
        <v>2024</v>
      </c>
    </row>
    <row r="388" spans="1:13" x14ac:dyDescent="0.45">
      <c r="A388" t="s">
        <v>1558</v>
      </c>
      <c r="B388" t="s">
        <v>47</v>
      </c>
      <c r="C388">
        <v>81</v>
      </c>
      <c r="D388" t="s">
        <v>53</v>
      </c>
      <c r="E388" t="s">
        <v>14</v>
      </c>
      <c r="F388">
        <v>17</v>
      </c>
      <c r="G388">
        <v>71</v>
      </c>
      <c r="H388" t="s">
        <v>1573</v>
      </c>
      <c r="I388">
        <v>4</v>
      </c>
      <c r="J388" t="s">
        <v>2</v>
      </c>
      <c r="K388" t="s">
        <v>1574</v>
      </c>
      <c r="L388" t="str">
        <f>IFERROR(IF(VALUE(tblRace2024[[#This Row],[Position]])=1,"Yes","No"),"No")</f>
        <v>No</v>
      </c>
      <c r="M388">
        <v>2024</v>
      </c>
    </row>
    <row r="389" spans="1:13" x14ac:dyDescent="0.45">
      <c r="A389" t="s">
        <v>1558</v>
      </c>
      <c r="B389" t="s">
        <v>52</v>
      </c>
      <c r="C389">
        <v>27</v>
      </c>
      <c r="D389" t="s">
        <v>43</v>
      </c>
      <c r="E389" t="s">
        <v>72</v>
      </c>
      <c r="F389">
        <v>10</v>
      </c>
      <c r="G389">
        <v>70</v>
      </c>
      <c r="H389" t="s">
        <v>118</v>
      </c>
      <c r="I389">
        <v>2</v>
      </c>
      <c r="J389" t="s">
        <v>2</v>
      </c>
      <c r="K389" t="s">
        <v>1575</v>
      </c>
      <c r="L389" t="str">
        <f>IFERROR(IF(VALUE(tblRace2024[[#This Row],[Position]])=1,"Yes","No"),"No")</f>
        <v>No</v>
      </c>
      <c r="M389">
        <v>2024</v>
      </c>
    </row>
    <row r="390" spans="1:13" x14ac:dyDescent="0.45">
      <c r="A390" t="s">
        <v>1558</v>
      </c>
      <c r="B390" t="s">
        <v>56</v>
      </c>
      <c r="C390">
        <v>10</v>
      </c>
      <c r="D390" t="s">
        <v>61</v>
      </c>
      <c r="E390" t="s">
        <v>62</v>
      </c>
      <c r="F390">
        <v>8</v>
      </c>
      <c r="G390">
        <v>70</v>
      </c>
      <c r="H390" t="s">
        <v>118</v>
      </c>
      <c r="I390">
        <v>1</v>
      </c>
      <c r="J390" t="s">
        <v>2</v>
      </c>
      <c r="K390" t="s">
        <v>1177</v>
      </c>
      <c r="L390" t="str">
        <f>IFERROR(IF(VALUE(tblRace2024[[#This Row],[Position]])=1,"Yes","No"),"No")</f>
        <v>No</v>
      </c>
      <c r="M390">
        <v>2024</v>
      </c>
    </row>
    <row r="391" spans="1:13" x14ac:dyDescent="0.45">
      <c r="A391" t="s">
        <v>1558</v>
      </c>
      <c r="B391" t="s">
        <v>60</v>
      </c>
      <c r="C391">
        <v>18</v>
      </c>
      <c r="D391" t="s">
        <v>38</v>
      </c>
      <c r="E391" t="s">
        <v>39</v>
      </c>
      <c r="F391">
        <v>14</v>
      </c>
      <c r="G391">
        <v>70</v>
      </c>
      <c r="H391" t="s">
        <v>118</v>
      </c>
      <c r="I391">
        <v>0</v>
      </c>
      <c r="J391" t="s">
        <v>2</v>
      </c>
      <c r="K391" t="s">
        <v>1576</v>
      </c>
      <c r="L391" t="str">
        <f>IFERROR(IF(VALUE(tblRace2024[[#This Row],[Position]])=1,"Yes","No"),"No")</f>
        <v>No</v>
      </c>
      <c r="M391">
        <v>2024</v>
      </c>
    </row>
    <row r="392" spans="1:13" x14ac:dyDescent="0.45">
      <c r="A392" t="s">
        <v>1558</v>
      </c>
      <c r="B392" t="s">
        <v>65</v>
      </c>
      <c r="C392">
        <v>43</v>
      </c>
      <c r="D392" t="s">
        <v>308</v>
      </c>
      <c r="E392" t="s">
        <v>34</v>
      </c>
      <c r="F392">
        <v>16</v>
      </c>
      <c r="G392">
        <v>70</v>
      </c>
      <c r="H392" t="s">
        <v>118</v>
      </c>
      <c r="I392">
        <v>0</v>
      </c>
      <c r="J392" t="s">
        <v>2</v>
      </c>
      <c r="K392" t="s">
        <v>1577</v>
      </c>
      <c r="L392" t="str">
        <f>IFERROR(IF(VALUE(tblRace2024[[#This Row],[Position]])=1,"Yes","No"),"No")</f>
        <v>No</v>
      </c>
      <c r="M392">
        <v>2024</v>
      </c>
    </row>
    <row r="393" spans="1:13" x14ac:dyDescent="0.45">
      <c r="A393" t="s">
        <v>1558</v>
      </c>
      <c r="B393" t="s">
        <v>70</v>
      </c>
      <c r="C393">
        <v>31</v>
      </c>
      <c r="D393" t="s">
        <v>71</v>
      </c>
      <c r="E393" t="s">
        <v>62</v>
      </c>
      <c r="F393">
        <v>20</v>
      </c>
      <c r="G393">
        <v>70</v>
      </c>
      <c r="H393" t="s">
        <v>118</v>
      </c>
      <c r="I393">
        <v>0</v>
      </c>
      <c r="J393" t="s">
        <v>2</v>
      </c>
      <c r="K393" t="s">
        <v>1578</v>
      </c>
      <c r="L393" t="str">
        <f>IFERROR(IF(VALUE(tblRace2024[[#This Row],[Position]])=1,"Yes","No"),"No")</f>
        <v>No</v>
      </c>
      <c r="M393">
        <v>2024</v>
      </c>
    </row>
    <row r="394" spans="1:13" x14ac:dyDescent="0.45">
      <c r="A394" t="s">
        <v>1558</v>
      </c>
      <c r="B394" t="s">
        <v>75</v>
      </c>
      <c r="C394">
        <v>77</v>
      </c>
      <c r="D394" t="s">
        <v>986</v>
      </c>
      <c r="E394" t="s">
        <v>44</v>
      </c>
      <c r="F394">
        <v>15</v>
      </c>
      <c r="G394">
        <v>70</v>
      </c>
      <c r="H394" t="s">
        <v>118</v>
      </c>
      <c r="I394">
        <v>0</v>
      </c>
      <c r="J394" t="s">
        <v>2</v>
      </c>
      <c r="K394" t="s">
        <v>1579</v>
      </c>
      <c r="L394" t="str">
        <f>IFERROR(IF(VALUE(tblRace2024[[#This Row],[Position]])=1,"Yes","No"),"No")</f>
        <v>No</v>
      </c>
      <c r="M394">
        <v>2024</v>
      </c>
    </row>
    <row r="395" spans="1:13" x14ac:dyDescent="0.45">
      <c r="A395" t="s">
        <v>1558</v>
      </c>
      <c r="B395" t="s">
        <v>120</v>
      </c>
      <c r="C395">
        <v>24</v>
      </c>
      <c r="D395" t="s">
        <v>974</v>
      </c>
      <c r="E395" t="s">
        <v>44</v>
      </c>
      <c r="F395">
        <v>19</v>
      </c>
      <c r="G395">
        <v>70</v>
      </c>
      <c r="H395" t="s">
        <v>118</v>
      </c>
      <c r="I395">
        <v>0</v>
      </c>
      <c r="J395" t="s">
        <v>2</v>
      </c>
      <c r="K395" t="s">
        <v>1580</v>
      </c>
      <c r="L395" t="str">
        <f>IFERROR(IF(VALUE(tblRace2024[[#This Row],[Position]])=1,"Yes","No"),"No")</f>
        <v>No</v>
      </c>
      <c r="M395">
        <v>2024</v>
      </c>
    </row>
    <row r="396" spans="1:13" x14ac:dyDescent="0.45">
      <c r="A396" t="s">
        <v>1558</v>
      </c>
      <c r="B396" t="s">
        <v>122</v>
      </c>
      <c r="C396">
        <v>30</v>
      </c>
      <c r="D396" t="s">
        <v>80</v>
      </c>
      <c r="E396" t="s">
        <v>979</v>
      </c>
      <c r="F396">
        <v>12</v>
      </c>
      <c r="G396">
        <v>70</v>
      </c>
      <c r="H396" t="s">
        <v>118</v>
      </c>
      <c r="I396">
        <v>0</v>
      </c>
      <c r="J396" t="s">
        <v>2</v>
      </c>
      <c r="K396" t="s">
        <v>1581</v>
      </c>
      <c r="L396" t="str">
        <f>IFERROR(IF(VALUE(tblRace2024[[#This Row],[Position]])=1,"Yes","No"),"No")</f>
        <v>No</v>
      </c>
      <c r="M396">
        <v>2024</v>
      </c>
    </row>
    <row r="397" spans="1:13" x14ac:dyDescent="0.45">
      <c r="A397" t="s">
        <v>1558</v>
      </c>
      <c r="B397" t="s">
        <v>163</v>
      </c>
      <c r="C397">
        <v>11</v>
      </c>
      <c r="D397" t="s">
        <v>955</v>
      </c>
      <c r="E397" t="s">
        <v>20</v>
      </c>
      <c r="F397">
        <v>18</v>
      </c>
      <c r="G397">
        <v>70</v>
      </c>
      <c r="H397" t="s">
        <v>118</v>
      </c>
      <c r="I397">
        <v>0</v>
      </c>
      <c r="J397" t="s">
        <v>2</v>
      </c>
      <c r="K397" t="s">
        <v>1582</v>
      </c>
      <c r="L397" t="str">
        <f>IFERROR(IF(VALUE(tblRace2024[[#This Row],[Position]])=1,"Yes","No"),"No")</f>
        <v>No</v>
      </c>
      <c r="M397">
        <v>2024</v>
      </c>
    </row>
    <row r="398" spans="1:13" x14ac:dyDescent="0.45">
      <c r="A398" t="s">
        <v>1558</v>
      </c>
      <c r="B398" t="s">
        <v>79</v>
      </c>
      <c r="C398">
        <v>14</v>
      </c>
      <c r="D398" t="s">
        <v>85</v>
      </c>
      <c r="E398" t="s">
        <v>39</v>
      </c>
      <c r="F398">
        <v>13</v>
      </c>
      <c r="G398">
        <v>15</v>
      </c>
      <c r="H398" t="s">
        <v>81</v>
      </c>
      <c r="I398">
        <v>0</v>
      </c>
      <c r="J398" t="s">
        <v>2</v>
      </c>
      <c r="K398" t="s">
        <v>1583</v>
      </c>
      <c r="L398" t="str">
        <f>IFERROR(IF(VALUE(tblRace2024[[#This Row],[Position]])=1,"Yes","No"),"No")</f>
        <v>No</v>
      </c>
      <c r="M398">
        <v>2024</v>
      </c>
    </row>
    <row r="399" spans="1:13" x14ac:dyDescent="0.45">
      <c r="A399" t="s">
        <v>1558</v>
      </c>
      <c r="B399" t="s">
        <v>79</v>
      </c>
      <c r="C399">
        <v>23</v>
      </c>
      <c r="D399" t="s">
        <v>33</v>
      </c>
      <c r="E399" t="s">
        <v>34</v>
      </c>
      <c r="F399">
        <v>9</v>
      </c>
      <c r="G399">
        <v>0</v>
      </c>
      <c r="H399" t="s">
        <v>81</v>
      </c>
      <c r="I399">
        <v>0</v>
      </c>
      <c r="J399" t="s">
        <v>2</v>
      </c>
      <c r="K399" t="s">
        <v>88</v>
      </c>
      <c r="L399" t="str">
        <f>IFERROR(IF(VALUE(tblRace2024[[#This Row],[Position]])=1,"Yes","No"),"No")</f>
        <v>No</v>
      </c>
      <c r="M399">
        <v>2024</v>
      </c>
    </row>
    <row r="400" spans="1:13" x14ac:dyDescent="0.45">
      <c r="A400" t="s">
        <v>1558</v>
      </c>
      <c r="B400" t="s">
        <v>79</v>
      </c>
      <c r="C400">
        <v>22</v>
      </c>
      <c r="D400" t="s">
        <v>66</v>
      </c>
      <c r="E400" t="s">
        <v>979</v>
      </c>
      <c r="F400">
        <v>11</v>
      </c>
      <c r="G400">
        <v>0</v>
      </c>
      <c r="H400" t="s">
        <v>81</v>
      </c>
      <c r="I400">
        <v>0</v>
      </c>
      <c r="J400" t="s">
        <v>2</v>
      </c>
      <c r="K400" t="s">
        <v>88</v>
      </c>
      <c r="L400" t="str">
        <f>IFERROR(IF(VALUE(tblRace2024[[#This Row],[Position]])=1,"Yes","No"),"No")</f>
        <v>No</v>
      </c>
      <c r="M400">
        <v>2024</v>
      </c>
    </row>
    <row r="401" spans="1:13" hidden="1" x14ac:dyDescent="0.45">
      <c r="A401" t="s">
        <v>863</v>
      </c>
      <c r="B401" t="s">
        <v>12</v>
      </c>
      <c r="C401">
        <v>1</v>
      </c>
      <c r="D401" t="s">
        <v>19</v>
      </c>
      <c r="E401" t="s">
        <v>20</v>
      </c>
      <c r="F401">
        <v>17</v>
      </c>
      <c r="G401">
        <v>69</v>
      </c>
      <c r="H401" t="s">
        <v>1584</v>
      </c>
      <c r="I401">
        <v>26</v>
      </c>
      <c r="J401" t="s">
        <v>16</v>
      </c>
      <c r="K401" t="s">
        <v>1585</v>
      </c>
      <c r="L401" t="str">
        <f>IFERROR(IF(VALUE(tblRace2024[[#This Row],[Position]])=1,"Yes","No"),"No")</f>
        <v>Yes</v>
      </c>
      <c r="M401">
        <v>2024</v>
      </c>
    </row>
    <row r="402" spans="1:13" hidden="1" x14ac:dyDescent="0.45">
      <c r="A402" t="s">
        <v>863</v>
      </c>
      <c r="B402" t="s">
        <v>18</v>
      </c>
      <c r="C402">
        <v>31</v>
      </c>
      <c r="D402" t="s">
        <v>71</v>
      </c>
      <c r="E402" t="s">
        <v>62</v>
      </c>
      <c r="F402">
        <v>4</v>
      </c>
      <c r="G402">
        <v>69</v>
      </c>
      <c r="H402" t="s">
        <v>1586</v>
      </c>
      <c r="I402">
        <v>18</v>
      </c>
      <c r="J402" t="s">
        <v>2</v>
      </c>
      <c r="K402" t="s">
        <v>1587</v>
      </c>
      <c r="L402" t="str">
        <f>IFERROR(IF(VALUE(tblRace2024[[#This Row],[Position]])=1,"Yes","No"),"No")</f>
        <v>No</v>
      </c>
      <c r="M402">
        <v>2024</v>
      </c>
    </row>
    <row r="403" spans="1:13" hidden="1" x14ac:dyDescent="0.45">
      <c r="A403" t="s">
        <v>863</v>
      </c>
      <c r="B403" t="s">
        <v>23</v>
      </c>
      <c r="C403">
        <v>10</v>
      </c>
      <c r="D403" t="s">
        <v>61</v>
      </c>
      <c r="E403" t="s">
        <v>62</v>
      </c>
      <c r="F403">
        <v>13</v>
      </c>
      <c r="G403">
        <v>69</v>
      </c>
      <c r="H403" t="s">
        <v>1588</v>
      </c>
      <c r="I403">
        <v>15</v>
      </c>
      <c r="J403" t="s">
        <v>2</v>
      </c>
      <c r="K403" t="s">
        <v>1589</v>
      </c>
      <c r="L403" t="str">
        <f>IFERROR(IF(VALUE(tblRace2024[[#This Row],[Position]])=1,"Yes","No"),"No")</f>
        <v>No</v>
      </c>
      <c r="M403">
        <v>2024</v>
      </c>
    </row>
    <row r="404" spans="1:13" hidden="1" x14ac:dyDescent="0.45">
      <c r="A404" t="s">
        <v>863</v>
      </c>
      <c r="B404" t="s">
        <v>28</v>
      </c>
      <c r="C404">
        <v>63</v>
      </c>
      <c r="D404" t="s">
        <v>24</v>
      </c>
      <c r="E404" t="s">
        <v>25</v>
      </c>
      <c r="F404">
        <v>2</v>
      </c>
      <c r="G404">
        <v>69</v>
      </c>
      <c r="H404" t="s">
        <v>1590</v>
      </c>
      <c r="I404">
        <v>12</v>
      </c>
      <c r="J404" t="s">
        <v>2</v>
      </c>
      <c r="K404" t="s">
        <v>1589</v>
      </c>
      <c r="L404" t="str">
        <f>IFERROR(IF(VALUE(tblRace2024[[#This Row],[Position]])=1,"Yes","No"),"No")</f>
        <v>No</v>
      </c>
      <c r="M404">
        <v>2024</v>
      </c>
    </row>
    <row r="405" spans="1:13" hidden="1" x14ac:dyDescent="0.45">
      <c r="A405" t="s">
        <v>863</v>
      </c>
      <c r="B405" t="s">
        <v>32</v>
      </c>
      <c r="C405">
        <v>16</v>
      </c>
      <c r="D405" t="s">
        <v>48</v>
      </c>
      <c r="E405" t="s">
        <v>49</v>
      </c>
      <c r="F405">
        <v>6</v>
      </c>
      <c r="G405">
        <v>69</v>
      </c>
      <c r="H405" t="s">
        <v>1591</v>
      </c>
      <c r="I405">
        <v>10</v>
      </c>
      <c r="J405" t="s">
        <v>2</v>
      </c>
      <c r="K405" t="s">
        <v>1592</v>
      </c>
      <c r="L405" t="str">
        <f>IFERROR(IF(VALUE(tblRace2024[[#This Row],[Position]])=1,"Yes","No"),"No")</f>
        <v>No</v>
      </c>
      <c r="M405">
        <v>2024</v>
      </c>
    </row>
    <row r="406" spans="1:13" hidden="1" x14ac:dyDescent="0.45">
      <c r="A406" t="s">
        <v>863</v>
      </c>
      <c r="B406" t="s">
        <v>37</v>
      </c>
      <c r="C406">
        <v>4</v>
      </c>
      <c r="D406" t="s">
        <v>13</v>
      </c>
      <c r="E406" t="s">
        <v>14</v>
      </c>
      <c r="F406">
        <v>1</v>
      </c>
      <c r="G406">
        <v>69</v>
      </c>
      <c r="H406" t="s">
        <v>1593</v>
      </c>
      <c r="I406">
        <v>8</v>
      </c>
      <c r="J406" t="s">
        <v>2</v>
      </c>
      <c r="K406" t="s">
        <v>1594</v>
      </c>
      <c r="L406" t="str">
        <f>IFERROR(IF(VALUE(tblRace2024[[#This Row],[Position]])=1,"Yes","No"),"No")</f>
        <v>No</v>
      </c>
      <c r="M406">
        <v>2024</v>
      </c>
    </row>
    <row r="407" spans="1:13" hidden="1" x14ac:dyDescent="0.45">
      <c r="A407" t="s">
        <v>863</v>
      </c>
      <c r="B407" t="s">
        <v>42</v>
      </c>
      <c r="C407">
        <v>22</v>
      </c>
      <c r="D407" t="s">
        <v>66</v>
      </c>
      <c r="E407" t="s">
        <v>979</v>
      </c>
      <c r="F407">
        <v>3</v>
      </c>
      <c r="G407">
        <v>69</v>
      </c>
      <c r="H407" t="s">
        <v>1595</v>
      </c>
      <c r="I407">
        <v>6</v>
      </c>
      <c r="J407" t="s">
        <v>2</v>
      </c>
      <c r="K407" t="s">
        <v>1596</v>
      </c>
      <c r="L407" t="str">
        <f>IFERROR(IF(VALUE(tblRace2024[[#This Row],[Position]])=1,"Yes","No"),"No")</f>
        <v>No</v>
      </c>
      <c r="M407">
        <v>2024</v>
      </c>
    </row>
    <row r="408" spans="1:13" hidden="1" x14ac:dyDescent="0.45">
      <c r="A408" t="s">
        <v>863</v>
      </c>
      <c r="B408" t="s">
        <v>47</v>
      </c>
      <c r="C408">
        <v>81</v>
      </c>
      <c r="D408" t="s">
        <v>53</v>
      </c>
      <c r="E408" t="s">
        <v>14</v>
      </c>
      <c r="F408">
        <v>8</v>
      </c>
      <c r="G408">
        <v>69</v>
      </c>
      <c r="H408" t="s">
        <v>1597</v>
      </c>
      <c r="I408">
        <v>4</v>
      </c>
      <c r="J408" t="s">
        <v>2</v>
      </c>
      <c r="K408" t="s">
        <v>1598</v>
      </c>
      <c r="L408" t="str">
        <f>IFERROR(IF(VALUE(tblRace2024[[#This Row],[Position]])=1,"Yes","No"),"No")</f>
        <v>No</v>
      </c>
      <c r="M408">
        <v>2024</v>
      </c>
    </row>
    <row r="409" spans="1:13" hidden="1" x14ac:dyDescent="0.45">
      <c r="A409" t="s">
        <v>863</v>
      </c>
      <c r="B409" t="s">
        <v>52</v>
      </c>
      <c r="C409">
        <v>30</v>
      </c>
      <c r="D409" t="s">
        <v>80</v>
      </c>
      <c r="E409" t="s">
        <v>979</v>
      </c>
      <c r="F409">
        <v>5</v>
      </c>
      <c r="G409">
        <v>69</v>
      </c>
      <c r="H409" t="s">
        <v>1599</v>
      </c>
      <c r="I409">
        <v>2</v>
      </c>
      <c r="J409" t="s">
        <v>2</v>
      </c>
      <c r="K409" t="s">
        <v>1600</v>
      </c>
      <c r="L409" t="str">
        <f>IFERROR(IF(VALUE(tblRace2024[[#This Row],[Position]])=1,"Yes","No"),"No")</f>
        <v>No</v>
      </c>
      <c r="M409">
        <v>2024</v>
      </c>
    </row>
    <row r="410" spans="1:13" hidden="1" x14ac:dyDescent="0.45">
      <c r="A410" t="s">
        <v>863</v>
      </c>
      <c r="B410" t="s">
        <v>56</v>
      </c>
      <c r="C410">
        <v>44</v>
      </c>
      <c r="D410" t="s">
        <v>57</v>
      </c>
      <c r="E410" t="s">
        <v>25</v>
      </c>
      <c r="F410">
        <v>14</v>
      </c>
      <c r="G410">
        <v>69</v>
      </c>
      <c r="H410" t="s">
        <v>1601</v>
      </c>
      <c r="I410">
        <v>1</v>
      </c>
      <c r="J410" t="s">
        <v>2</v>
      </c>
      <c r="K410" t="s">
        <v>1602</v>
      </c>
      <c r="L410" t="str">
        <f>IFERROR(IF(VALUE(tblRace2024[[#This Row],[Position]])=1,"Yes","No"),"No")</f>
        <v>No</v>
      </c>
      <c r="M410">
        <v>2024</v>
      </c>
    </row>
    <row r="411" spans="1:13" hidden="1" x14ac:dyDescent="0.45">
      <c r="A411" t="s">
        <v>863</v>
      </c>
      <c r="B411" t="s">
        <v>60</v>
      </c>
      <c r="C411">
        <v>11</v>
      </c>
      <c r="D411" t="s">
        <v>955</v>
      </c>
      <c r="E411" t="s">
        <v>20</v>
      </c>
      <c r="F411">
        <v>12</v>
      </c>
      <c r="G411">
        <v>69</v>
      </c>
      <c r="H411" t="s">
        <v>1603</v>
      </c>
      <c r="I411">
        <v>0</v>
      </c>
      <c r="J411" t="s">
        <v>2</v>
      </c>
      <c r="K411" t="s">
        <v>1604</v>
      </c>
      <c r="L411" t="str">
        <f>IFERROR(IF(VALUE(tblRace2024[[#This Row],[Position]])=1,"Yes","No"),"No")</f>
        <v>No</v>
      </c>
      <c r="M411">
        <v>2024</v>
      </c>
    </row>
    <row r="412" spans="1:13" hidden="1" x14ac:dyDescent="0.45">
      <c r="A412" t="s">
        <v>863</v>
      </c>
      <c r="B412" t="s">
        <v>65</v>
      </c>
      <c r="C412">
        <v>50</v>
      </c>
      <c r="D412" t="s">
        <v>76</v>
      </c>
      <c r="E412" t="s">
        <v>72</v>
      </c>
      <c r="F412">
        <v>15</v>
      </c>
      <c r="G412">
        <v>69</v>
      </c>
      <c r="H412" t="s">
        <v>1605</v>
      </c>
      <c r="I412">
        <v>0</v>
      </c>
      <c r="J412" t="s">
        <v>2</v>
      </c>
      <c r="K412" t="s">
        <v>1606</v>
      </c>
      <c r="L412" t="str">
        <f>IFERROR(IF(VALUE(tblRace2024[[#This Row],[Position]])=1,"Yes","No"),"No")</f>
        <v>No</v>
      </c>
      <c r="M412">
        <v>2024</v>
      </c>
    </row>
    <row r="413" spans="1:13" hidden="1" x14ac:dyDescent="0.45">
      <c r="A413" t="s">
        <v>863</v>
      </c>
      <c r="B413" t="s">
        <v>70</v>
      </c>
      <c r="C413">
        <v>77</v>
      </c>
      <c r="D413" t="s">
        <v>986</v>
      </c>
      <c r="E413" t="s">
        <v>44</v>
      </c>
      <c r="F413">
        <v>11</v>
      </c>
      <c r="G413">
        <v>69</v>
      </c>
      <c r="H413" t="s">
        <v>1607</v>
      </c>
      <c r="I413">
        <v>0</v>
      </c>
      <c r="J413" t="s">
        <v>2</v>
      </c>
      <c r="K413" t="s">
        <v>1608</v>
      </c>
      <c r="L413" t="str">
        <f>IFERROR(IF(VALUE(tblRace2024[[#This Row],[Position]])=1,"Yes","No"),"No")</f>
        <v>No</v>
      </c>
      <c r="M413">
        <v>2024</v>
      </c>
    </row>
    <row r="414" spans="1:13" hidden="1" x14ac:dyDescent="0.45">
      <c r="A414" t="s">
        <v>863</v>
      </c>
      <c r="B414" t="s">
        <v>75</v>
      </c>
      <c r="C414">
        <v>14</v>
      </c>
      <c r="D414" t="s">
        <v>85</v>
      </c>
      <c r="E414" t="s">
        <v>39</v>
      </c>
      <c r="F414">
        <v>9</v>
      </c>
      <c r="G414">
        <v>69</v>
      </c>
      <c r="H414" t="s">
        <v>1609</v>
      </c>
      <c r="I414">
        <v>0</v>
      </c>
      <c r="J414" t="s">
        <v>2</v>
      </c>
      <c r="K414" t="s">
        <v>1610</v>
      </c>
      <c r="L414" t="str">
        <f>IFERROR(IF(VALUE(tblRace2024[[#This Row],[Position]])=1,"Yes","No"),"No")</f>
        <v>No</v>
      </c>
      <c r="M414">
        <v>2024</v>
      </c>
    </row>
    <row r="415" spans="1:13" hidden="1" x14ac:dyDescent="0.45">
      <c r="A415" t="s">
        <v>863</v>
      </c>
      <c r="B415" t="s">
        <v>120</v>
      </c>
      <c r="C415">
        <v>24</v>
      </c>
      <c r="D415" t="s">
        <v>974</v>
      </c>
      <c r="E415" t="s">
        <v>44</v>
      </c>
      <c r="F415">
        <v>19</v>
      </c>
      <c r="G415">
        <v>69</v>
      </c>
      <c r="H415" t="s">
        <v>1611</v>
      </c>
      <c r="I415">
        <v>0</v>
      </c>
      <c r="J415" t="s">
        <v>2</v>
      </c>
      <c r="K415" t="s">
        <v>1612</v>
      </c>
      <c r="L415" t="str">
        <f>IFERROR(IF(VALUE(tblRace2024[[#This Row],[Position]])=1,"Yes","No"),"No")</f>
        <v>No</v>
      </c>
      <c r="M415">
        <v>2024</v>
      </c>
    </row>
    <row r="416" spans="1:13" hidden="1" x14ac:dyDescent="0.45">
      <c r="A416" t="s">
        <v>863</v>
      </c>
      <c r="B416" t="s">
        <v>79</v>
      </c>
      <c r="C416">
        <v>55</v>
      </c>
      <c r="D416" t="s">
        <v>87</v>
      </c>
      <c r="E416" t="s">
        <v>49</v>
      </c>
      <c r="F416">
        <v>20</v>
      </c>
      <c r="G416">
        <v>38</v>
      </c>
      <c r="H416" t="s">
        <v>81</v>
      </c>
      <c r="I416">
        <v>0</v>
      </c>
      <c r="J416" t="s">
        <v>2</v>
      </c>
      <c r="K416" t="s">
        <v>1613</v>
      </c>
      <c r="L416" t="str">
        <f>IFERROR(IF(VALUE(tblRace2024[[#This Row],[Position]])=1,"Yes","No"),"No")</f>
        <v>No</v>
      </c>
      <c r="M416">
        <v>2024</v>
      </c>
    </row>
    <row r="417" spans="1:13" hidden="1" x14ac:dyDescent="0.45">
      <c r="A417" t="s">
        <v>863</v>
      </c>
      <c r="B417" t="s">
        <v>79</v>
      </c>
      <c r="C417">
        <v>43</v>
      </c>
      <c r="D417" t="s">
        <v>308</v>
      </c>
      <c r="E417" t="s">
        <v>34</v>
      </c>
      <c r="F417">
        <v>16</v>
      </c>
      <c r="G417">
        <v>30</v>
      </c>
      <c r="H417" t="s">
        <v>81</v>
      </c>
      <c r="I417">
        <v>0</v>
      </c>
      <c r="J417" t="s">
        <v>2</v>
      </c>
      <c r="K417" t="s">
        <v>1614</v>
      </c>
      <c r="L417" t="str">
        <f>IFERROR(IF(VALUE(tblRace2024[[#This Row],[Position]])=1,"Yes","No"),"No")</f>
        <v>No</v>
      </c>
      <c r="M417">
        <v>2024</v>
      </c>
    </row>
    <row r="418" spans="1:13" hidden="1" x14ac:dyDescent="0.45">
      <c r="A418" t="s">
        <v>863</v>
      </c>
      <c r="B418" t="s">
        <v>79</v>
      </c>
      <c r="C418">
        <v>23</v>
      </c>
      <c r="D418" t="s">
        <v>33</v>
      </c>
      <c r="E418" t="s">
        <v>34</v>
      </c>
      <c r="F418">
        <v>7</v>
      </c>
      <c r="G418">
        <v>0</v>
      </c>
      <c r="H418" t="s">
        <v>428</v>
      </c>
      <c r="I418">
        <v>0</v>
      </c>
      <c r="J418" t="s">
        <v>2</v>
      </c>
      <c r="K418" t="s">
        <v>88</v>
      </c>
      <c r="L418" t="str">
        <f>IFERROR(IF(VALUE(tblRace2024[[#This Row],[Position]])=1,"Yes","No"),"No")</f>
        <v>No</v>
      </c>
      <c r="M418">
        <v>2024</v>
      </c>
    </row>
    <row r="419" spans="1:13" hidden="1" x14ac:dyDescent="0.45">
      <c r="A419" t="s">
        <v>863</v>
      </c>
      <c r="B419" t="s">
        <v>79</v>
      </c>
      <c r="C419">
        <v>18</v>
      </c>
      <c r="D419" t="s">
        <v>38</v>
      </c>
      <c r="E419" t="s">
        <v>39</v>
      </c>
      <c r="F419">
        <v>10</v>
      </c>
      <c r="G419">
        <v>0</v>
      </c>
      <c r="H419" t="s">
        <v>428</v>
      </c>
      <c r="I419">
        <v>0</v>
      </c>
      <c r="J419" t="s">
        <v>2</v>
      </c>
      <c r="K419" t="s">
        <v>88</v>
      </c>
      <c r="L419" t="str">
        <f>IFERROR(IF(VALUE(tblRace2024[[#This Row],[Position]])=1,"Yes","No"),"No")</f>
        <v>No</v>
      </c>
      <c r="M419">
        <v>2024</v>
      </c>
    </row>
    <row r="420" spans="1:13" hidden="1" x14ac:dyDescent="0.45">
      <c r="A420" t="s">
        <v>863</v>
      </c>
      <c r="B420" t="s">
        <v>125</v>
      </c>
      <c r="C420">
        <v>27</v>
      </c>
      <c r="D420" t="s">
        <v>43</v>
      </c>
      <c r="E420" t="s">
        <v>72</v>
      </c>
      <c r="F420">
        <v>18</v>
      </c>
      <c r="G420">
        <v>0</v>
      </c>
      <c r="H420" t="s">
        <v>126</v>
      </c>
      <c r="I420">
        <v>0</v>
      </c>
      <c r="J420" t="s">
        <v>2</v>
      </c>
      <c r="K420" t="s">
        <v>1615</v>
      </c>
      <c r="L420" t="str">
        <f>IFERROR(IF(VALUE(tblRace2024[[#This Row],[Position]])=1,"Yes","No"),"No")</f>
        <v>No</v>
      </c>
      <c r="M420">
        <v>2024</v>
      </c>
    </row>
    <row r="421" spans="1:13" hidden="1" x14ac:dyDescent="0.45">
      <c r="A421" t="s">
        <v>1616</v>
      </c>
      <c r="B421" t="s">
        <v>12</v>
      </c>
      <c r="C421">
        <v>63</v>
      </c>
      <c r="D421" t="s">
        <v>24</v>
      </c>
      <c r="E421" t="s">
        <v>25</v>
      </c>
      <c r="F421">
        <v>1</v>
      </c>
      <c r="G421">
        <v>50</v>
      </c>
      <c r="H421" t="s">
        <v>1617</v>
      </c>
      <c r="I421">
        <v>25</v>
      </c>
      <c r="J421" t="s">
        <v>2</v>
      </c>
      <c r="K421" t="s">
        <v>1618</v>
      </c>
      <c r="L421" t="str">
        <f>IFERROR(IF(VALUE(tblRace2024[[#This Row],[Position]])=1,"Yes","No"),"No")</f>
        <v>Yes</v>
      </c>
      <c r="M421">
        <v>2024</v>
      </c>
    </row>
    <row r="422" spans="1:13" hidden="1" x14ac:dyDescent="0.45">
      <c r="A422" t="s">
        <v>1616</v>
      </c>
      <c r="B422" t="s">
        <v>18</v>
      </c>
      <c r="C422">
        <v>44</v>
      </c>
      <c r="D422" t="s">
        <v>57</v>
      </c>
      <c r="E422" t="s">
        <v>25</v>
      </c>
      <c r="F422">
        <v>10</v>
      </c>
      <c r="G422">
        <v>50</v>
      </c>
      <c r="H422" t="s">
        <v>1619</v>
      </c>
      <c r="I422">
        <v>18</v>
      </c>
      <c r="J422" t="s">
        <v>2</v>
      </c>
      <c r="K422" t="s">
        <v>1620</v>
      </c>
      <c r="L422" t="str">
        <f>IFERROR(IF(VALUE(tblRace2024[[#This Row],[Position]])=1,"Yes","No"),"No")</f>
        <v>No</v>
      </c>
      <c r="M422">
        <v>2024</v>
      </c>
    </row>
    <row r="423" spans="1:13" hidden="1" x14ac:dyDescent="0.45">
      <c r="A423" t="s">
        <v>1616</v>
      </c>
      <c r="B423" t="s">
        <v>23</v>
      </c>
      <c r="C423">
        <v>55</v>
      </c>
      <c r="D423" t="s">
        <v>87</v>
      </c>
      <c r="E423" t="s">
        <v>49</v>
      </c>
      <c r="F423">
        <v>2</v>
      </c>
      <c r="G423">
        <v>50</v>
      </c>
      <c r="H423" t="s">
        <v>1621</v>
      </c>
      <c r="I423">
        <v>15</v>
      </c>
      <c r="J423" t="s">
        <v>2</v>
      </c>
      <c r="K423" t="s">
        <v>1622</v>
      </c>
      <c r="L423" t="str">
        <f>IFERROR(IF(VALUE(tblRace2024[[#This Row],[Position]])=1,"Yes","No"),"No")</f>
        <v>No</v>
      </c>
      <c r="M423">
        <v>2024</v>
      </c>
    </row>
    <row r="424" spans="1:13" hidden="1" x14ac:dyDescent="0.45">
      <c r="A424" t="s">
        <v>1616</v>
      </c>
      <c r="B424" t="s">
        <v>28</v>
      </c>
      <c r="C424">
        <v>16</v>
      </c>
      <c r="D424" t="s">
        <v>48</v>
      </c>
      <c r="E424" t="s">
        <v>49</v>
      </c>
      <c r="F424">
        <v>4</v>
      </c>
      <c r="G424">
        <v>50</v>
      </c>
      <c r="H424" t="s">
        <v>1623</v>
      </c>
      <c r="I424">
        <v>12</v>
      </c>
      <c r="J424" t="s">
        <v>2</v>
      </c>
      <c r="K424" t="s">
        <v>1624</v>
      </c>
      <c r="L424" t="str">
        <f>IFERROR(IF(VALUE(tblRace2024[[#This Row],[Position]])=1,"Yes","No"),"No")</f>
        <v>No</v>
      </c>
      <c r="M424">
        <v>2024</v>
      </c>
    </row>
    <row r="425" spans="1:13" hidden="1" x14ac:dyDescent="0.45">
      <c r="A425" t="s">
        <v>1616</v>
      </c>
      <c r="B425" t="s">
        <v>32</v>
      </c>
      <c r="C425">
        <v>1</v>
      </c>
      <c r="D425" t="s">
        <v>19</v>
      </c>
      <c r="E425" t="s">
        <v>20</v>
      </c>
      <c r="F425">
        <v>5</v>
      </c>
      <c r="G425">
        <v>50</v>
      </c>
      <c r="H425" t="s">
        <v>1625</v>
      </c>
      <c r="I425">
        <v>10</v>
      </c>
      <c r="J425" t="s">
        <v>2</v>
      </c>
      <c r="K425" t="s">
        <v>1626</v>
      </c>
      <c r="L425" t="str">
        <f>IFERROR(IF(VALUE(tblRace2024[[#This Row],[Position]])=1,"Yes","No"),"No")</f>
        <v>No</v>
      </c>
      <c r="M425">
        <v>2024</v>
      </c>
    </row>
    <row r="426" spans="1:13" hidden="1" x14ac:dyDescent="0.45">
      <c r="A426" t="s">
        <v>1616</v>
      </c>
      <c r="B426" t="s">
        <v>37</v>
      </c>
      <c r="C426">
        <v>4</v>
      </c>
      <c r="D426" t="s">
        <v>13</v>
      </c>
      <c r="E426" t="s">
        <v>14</v>
      </c>
      <c r="F426">
        <v>6</v>
      </c>
      <c r="G426">
        <v>50</v>
      </c>
      <c r="H426" t="s">
        <v>1627</v>
      </c>
      <c r="I426">
        <v>9</v>
      </c>
      <c r="J426" t="s">
        <v>16</v>
      </c>
      <c r="K426" t="s">
        <v>1628</v>
      </c>
      <c r="L426" t="str">
        <f>IFERROR(IF(VALUE(tblRace2024[[#This Row],[Position]])=1,"Yes","No"),"No")</f>
        <v>No</v>
      </c>
      <c r="M426">
        <v>2024</v>
      </c>
    </row>
    <row r="427" spans="1:13" hidden="1" x14ac:dyDescent="0.45">
      <c r="A427" t="s">
        <v>1616</v>
      </c>
      <c r="B427" t="s">
        <v>42</v>
      </c>
      <c r="C427">
        <v>81</v>
      </c>
      <c r="D427" t="s">
        <v>53</v>
      </c>
      <c r="E427" t="s">
        <v>14</v>
      </c>
      <c r="F427">
        <v>8</v>
      </c>
      <c r="G427">
        <v>50</v>
      </c>
      <c r="H427" t="s">
        <v>1629</v>
      </c>
      <c r="I427">
        <v>6</v>
      </c>
      <c r="J427" t="s">
        <v>2</v>
      </c>
      <c r="K427" t="s">
        <v>1630</v>
      </c>
      <c r="L427" t="str">
        <f>IFERROR(IF(VALUE(tblRace2024[[#This Row],[Position]])=1,"Yes","No"),"No")</f>
        <v>No</v>
      </c>
      <c r="M427">
        <v>2024</v>
      </c>
    </row>
    <row r="428" spans="1:13" hidden="1" x14ac:dyDescent="0.45">
      <c r="A428" t="s">
        <v>1616</v>
      </c>
      <c r="B428" t="s">
        <v>47</v>
      </c>
      <c r="C428">
        <v>27</v>
      </c>
      <c r="D428" t="s">
        <v>43</v>
      </c>
      <c r="E428" t="s">
        <v>72</v>
      </c>
      <c r="F428">
        <v>9</v>
      </c>
      <c r="G428">
        <v>50</v>
      </c>
      <c r="H428" t="s">
        <v>1631</v>
      </c>
      <c r="I428">
        <v>4</v>
      </c>
      <c r="J428" t="s">
        <v>2</v>
      </c>
      <c r="K428" t="s">
        <v>1632</v>
      </c>
      <c r="L428" t="str">
        <f>IFERROR(IF(VALUE(tblRace2024[[#This Row],[Position]])=1,"Yes","No"),"No")</f>
        <v>No</v>
      </c>
      <c r="M428">
        <v>2024</v>
      </c>
    </row>
    <row r="429" spans="1:13" hidden="1" x14ac:dyDescent="0.45">
      <c r="A429" t="s">
        <v>1616</v>
      </c>
      <c r="B429" t="s">
        <v>52</v>
      </c>
      <c r="C429">
        <v>22</v>
      </c>
      <c r="D429" t="s">
        <v>66</v>
      </c>
      <c r="E429" t="s">
        <v>979</v>
      </c>
      <c r="F429">
        <v>7</v>
      </c>
      <c r="G429">
        <v>50</v>
      </c>
      <c r="H429" t="s">
        <v>1633</v>
      </c>
      <c r="I429">
        <v>2</v>
      </c>
      <c r="J429" t="s">
        <v>2</v>
      </c>
      <c r="K429" t="s">
        <v>1634</v>
      </c>
      <c r="L429" t="str">
        <f>IFERROR(IF(VALUE(tblRace2024[[#This Row],[Position]])=1,"Yes","No"),"No")</f>
        <v>No</v>
      </c>
      <c r="M429">
        <v>2024</v>
      </c>
    </row>
    <row r="430" spans="1:13" hidden="1" x14ac:dyDescent="0.45">
      <c r="A430" t="s">
        <v>1616</v>
      </c>
      <c r="B430" t="s">
        <v>56</v>
      </c>
      <c r="C430">
        <v>11</v>
      </c>
      <c r="D430" t="s">
        <v>955</v>
      </c>
      <c r="E430" t="s">
        <v>20</v>
      </c>
      <c r="F430">
        <v>15</v>
      </c>
      <c r="G430">
        <v>50</v>
      </c>
      <c r="H430" t="s">
        <v>1635</v>
      </c>
      <c r="I430">
        <v>1</v>
      </c>
      <c r="J430" t="s">
        <v>2</v>
      </c>
      <c r="K430" t="s">
        <v>1636</v>
      </c>
      <c r="L430" t="str">
        <f>IFERROR(IF(VALUE(tblRace2024[[#This Row],[Position]])=1,"Yes","No"),"No")</f>
        <v>No</v>
      </c>
      <c r="M430">
        <v>2024</v>
      </c>
    </row>
    <row r="431" spans="1:13" hidden="1" x14ac:dyDescent="0.45">
      <c r="A431" t="s">
        <v>1616</v>
      </c>
      <c r="B431" t="s">
        <v>60</v>
      </c>
      <c r="C431">
        <v>14</v>
      </c>
      <c r="D431" t="s">
        <v>85</v>
      </c>
      <c r="E431" t="s">
        <v>39</v>
      </c>
      <c r="F431">
        <v>16</v>
      </c>
      <c r="G431">
        <v>50</v>
      </c>
      <c r="H431" t="s">
        <v>1637</v>
      </c>
      <c r="I431">
        <v>0</v>
      </c>
      <c r="J431" t="s">
        <v>2</v>
      </c>
      <c r="K431" t="s">
        <v>1638</v>
      </c>
      <c r="L431" t="str">
        <f>IFERROR(IF(VALUE(tblRace2024[[#This Row],[Position]])=1,"Yes","No"),"No")</f>
        <v>No</v>
      </c>
      <c r="M431">
        <v>2024</v>
      </c>
    </row>
    <row r="432" spans="1:13" hidden="1" x14ac:dyDescent="0.45">
      <c r="A432" t="s">
        <v>1616</v>
      </c>
      <c r="B432" t="s">
        <v>65</v>
      </c>
      <c r="C432">
        <v>20</v>
      </c>
      <c r="D432" t="s">
        <v>976</v>
      </c>
      <c r="E432" t="s">
        <v>72</v>
      </c>
      <c r="F432">
        <v>12</v>
      </c>
      <c r="G432">
        <v>50</v>
      </c>
      <c r="H432" t="s">
        <v>1639</v>
      </c>
      <c r="I432">
        <v>0</v>
      </c>
      <c r="J432" t="s">
        <v>2</v>
      </c>
      <c r="K432" t="s">
        <v>1640</v>
      </c>
      <c r="L432" t="str">
        <f>IFERROR(IF(VALUE(tblRace2024[[#This Row],[Position]])=1,"Yes","No"),"No")</f>
        <v>No</v>
      </c>
      <c r="M432">
        <v>2024</v>
      </c>
    </row>
    <row r="433" spans="1:13" hidden="1" x14ac:dyDescent="0.45">
      <c r="A433" t="s">
        <v>1616</v>
      </c>
      <c r="B433" t="s">
        <v>70</v>
      </c>
      <c r="C433">
        <v>24</v>
      </c>
      <c r="D433" t="s">
        <v>974</v>
      </c>
      <c r="E433" t="s">
        <v>44</v>
      </c>
      <c r="F433">
        <v>13</v>
      </c>
      <c r="G433">
        <v>50</v>
      </c>
      <c r="H433" t="s">
        <v>1641</v>
      </c>
      <c r="I433">
        <v>0</v>
      </c>
      <c r="J433" t="s">
        <v>2</v>
      </c>
      <c r="K433" t="s">
        <v>1642</v>
      </c>
      <c r="L433" t="str">
        <f>IFERROR(IF(VALUE(tblRace2024[[#This Row],[Position]])=1,"Yes","No"),"No")</f>
        <v>No</v>
      </c>
      <c r="M433">
        <v>2024</v>
      </c>
    </row>
    <row r="434" spans="1:13" hidden="1" x14ac:dyDescent="0.45">
      <c r="A434" t="s">
        <v>1616</v>
      </c>
      <c r="B434" t="s">
        <v>75</v>
      </c>
      <c r="C434">
        <v>43</v>
      </c>
      <c r="D434" t="s">
        <v>308</v>
      </c>
      <c r="E434" t="s">
        <v>34</v>
      </c>
      <c r="F434">
        <v>20</v>
      </c>
      <c r="G434">
        <v>50</v>
      </c>
      <c r="H434" t="s">
        <v>1643</v>
      </c>
      <c r="I434">
        <v>0</v>
      </c>
      <c r="J434" t="s">
        <v>2</v>
      </c>
      <c r="K434" t="s">
        <v>1644</v>
      </c>
      <c r="L434" t="str">
        <f>IFERROR(IF(VALUE(tblRace2024[[#This Row],[Position]])=1,"Yes","No"),"No")</f>
        <v>No</v>
      </c>
      <c r="M434">
        <v>2024</v>
      </c>
    </row>
    <row r="435" spans="1:13" hidden="1" x14ac:dyDescent="0.45">
      <c r="A435" t="s">
        <v>1616</v>
      </c>
      <c r="B435" t="s">
        <v>120</v>
      </c>
      <c r="C435">
        <v>18</v>
      </c>
      <c r="D435" t="s">
        <v>38</v>
      </c>
      <c r="E435" t="s">
        <v>39</v>
      </c>
      <c r="F435">
        <v>18</v>
      </c>
      <c r="G435">
        <v>50</v>
      </c>
      <c r="H435" t="s">
        <v>1645</v>
      </c>
      <c r="I435">
        <v>0</v>
      </c>
      <c r="J435" t="s">
        <v>2</v>
      </c>
      <c r="K435" t="s">
        <v>1646</v>
      </c>
      <c r="L435" t="str">
        <f>IFERROR(IF(VALUE(tblRace2024[[#This Row],[Position]])=1,"Yes","No"),"No")</f>
        <v>No</v>
      </c>
      <c r="M435">
        <v>2024</v>
      </c>
    </row>
    <row r="436" spans="1:13" hidden="1" x14ac:dyDescent="0.45">
      <c r="A436" t="s">
        <v>1616</v>
      </c>
      <c r="B436" t="s">
        <v>122</v>
      </c>
      <c r="C436">
        <v>30</v>
      </c>
      <c r="D436" t="s">
        <v>80</v>
      </c>
      <c r="E436" t="s">
        <v>979</v>
      </c>
      <c r="F436">
        <v>14</v>
      </c>
      <c r="G436">
        <v>50</v>
      </c>
      <c r="H436" t="s">
        <v>1647</v>
      </c>
      <c r="I436">
        <v>0</v>
      </c>
      <c r="J436" t="s">
        <v>2</v>
      </c>
      <c r="K436" t="s">
        <v>1648</v>
      </c>
      <c r="L436" t="str">
        <f>IFERROR(IF(VALUE(tblRace2024[[#This Row],[Position]])=1,"Yes","No"),"No")</f>
        <v>No</v>
      </c>
      <c r="M436">
        <v>2024</v>
      </c>
    </row>
    <row r="437" spans="1:13" hidden="1" x14ac:dyDescent="0.45">
      <c r="A437" t="s">
        <v>1616</v>
      </c>
      <c r="B437" t="s">
        <v>163</v>
      </c>
      <c r="C437">
        <v>31</v>
      </c>
      <c r="D437" t="s">
        <v>71</v>
      </c>
      <c r="E437" t="s">
        <v>62</v>
      </c>
      <c r="F437">
        <v>11</v>
      </c>
      <c r="G437">
        <v>49</v>
      </c>
      <c r="H437" t="s">
        <v>118</v>
      </c>
      <c r="I437">
        <v>0</v>
      </c>
      <c r="J437" t="s">
        <v>2</v>
      </c>
      <c r="K437" t="s">
        <v>1649</v>
      </c>
      <c r="L437" t="str">
        <f>IFERROR(IF(VALUE(tblRace2024[[#This Row],[Position]])=1,"Yes","No"),"No")</f>
        <v>No</v>
      </c>
      <c r="M437">
        <v>2024</v>
      </c>
    </row>
    <row r="438" spans="1:13" hidden="1" x14ac:dyDescent="0.45">
      <c r="A438" t="s">
        <v>1616</v>
      </c>
      <c r="B438" t="s">
        <v>166</v>
      </c>
      <c r="C438">
        <v>77</v>
      </c>
      <c r="D438" t="s">
        <v>986</v>
      </c>
      <c r="E438" t="s">
        <v>44</v>
      </c>
      <c r="F438">
        <v>19</v>
      </c>
      <c r="G438">
        <v>49</v>
      </c>
      <c r="H438" t="s">
        <v>118</v>
      </c>
      <c r="I438">
        <v>0</v>
      </c>
      <c r="J438" t="s">
        <v>2</v>
      </c>
      <c r="K438" t="s">
        <v>1650</v>
      </c>
      <c r="L438" t="str">
        <f>IFERROR(IF(VALUE(tblRace2024[[#This Row],[Position]])=1,"Yes","No"),"No")</f>
        <v>No</v>
      </c>
      <c r="M438">
        <v>2024</v>
      </c>
    </row>
    <row r="439" spans="1:13" hidden="1" x14ac:dyDescent="0.45">
      <c r="A439" t="s">
        <v>1616</v>
      </c>
      <c r="B439" t="s">
        <v>79</v>
      </c>
      <c r="C439">
        <v>23</v>
      </c>
      <c r="D439" t="s">
        <v>33</v>
      </c>
      <c r="E439" t="s">
        <v>34</v>
      </c>
      <c r="F439">
        <v>17</v>
      </c>
      <c r="G439">
        <v>25</v>
      </c>
      <c r="H439" t="s">
        <v>81</v>
      </c>
      <c r="I439">
        <v>0</v>
      </c>
      <c r="J439" t="s">
        <v>2</v>
      </c>
      <c r="K439" t="s">
        <v>1651</v>
      </c>
      <c r="L439" t="str">
        <f>IFERROR(IF(VALUE(tblRace2024[[#This Row],[Position]])=1,"Yes","No"),"No")</f>
        <v>No</v>
      </c>
      <c r="M439">
        <v>2024</v>
      </c>
    </row>
    <row r="440" spans="1:13" hidden="1" x14ac:dyDescent="0.45">
      <c r="A440" t="s">
        <v>1616</v>
      </c>
      <c r="B440" t="s">
        <v>79</v>
      </c>
      <c r="C440">
        <v>10</v>
      </c>
      <c r="D440" t="s">
        <v>61</v>
      </c>
      <c r="E440" t="s">
        <v>62</v>
      </c>
      <c r="F440">
        <v>3</v>
      </c>
      <c r="G440">
        <v>15</v>
      </c>
      <c r="H440" t="s">
        <v>81</v>
      </c>
      <c r="I440">
        <v>0</v>
      </c>
      <c r="J440" t="s">
        <v>2</v>
      </c>
      <c r="K440" t="s">
        <v>1652</v>
      </c>
      <c r="L440" t="str">
        <f>IFERROR(IF(VALUE(tblRace2024[[#This Row],[Position]])=1,"Yes","No"),"No")</f>
        <v>No</v>
      </c>
      <c r="M440">
        <v>2024</v>
      </c>
    </row>
    <row r="441" spans="1:13" hidden="1" x14ac:dyDescent="0.45">
      <c r="A441" t="s">
        <v>1653</v>
      </c>
      <c r="B441" t="s">
        <v>12</v>
      </c>
      <c r="C441">
        <v>1</v>
      </c>
      <c r="D441" t="s">
        <v>19</v>
      </c>
      <c r="E441" t="s">
        <v>20</v>
      </c>
      <c r="F441">
        <v>2</v>
      </c>
      <c r="G441">
        <v>57</v>
      </c>
      <c r="H441" t="s">
        <v>1654</v>
      </c>
      <c r="I441">
        <v>25</v>
      </c>
      <c r="J441" t="s">
        <v>2</v>
      </c>
      <c r="K441" t="s">
        <v>1655</v>
      </c>
      <c r="L441" t="str">
        <f>IFERROR(IF(VALUE(tblRace2024[[#This Row],[Position]])=1,"Yes","No"),"No")</f>
        <v>Yes</v>
      </c>
      <c r="M441">
        <v>2024</v>
      </c>
    </row>
    <row r="442" spans="1:13" hidden="1" x14ac:dyDescent="0.45">
      <c r="A442" t="s">
        <v>1653</v>
      </c>
      <c r="B442" t="s">
        <v>18</v>
      </c>
      <c r="C442">
        <v>16</v>
      </c>
      <c r="D442" t="s">
        <v>48</v>
      </c>
      <c r="E442" t="s">
        <v>49</v>
      </c>
      <c r="F442">
        <v>5</v>
      </c>
      <c r="G442">
        <v>57</v>
      </c>
      <c r="H442" t="s">
        <v>1656</v>
      </c>
      <c r="I442">
        <v>18</v>
      </c>
      <c r="J442" t="s">
        <v>2</v>
      </c>
      <c r="K442" t="s">
        <v>55</v>
      </c>
      <c r="L442" t="str">
        <f>IFERROR(IF(VALUE(tblRace2024[[#This Row],[Position]])=1,"Yes","No"),"No")</f>
        <v>No</v>
      </c>
      <c r="M442">
        <v>2024</v>
      </c>
    </row>
    <row r="443" spans="1:13" hidden="1" x14ac:dyDescent="0.45">
      <c r="A443" t="s">
        <v>1653</v>
      </c>
      <c r="B443" t="s">
        <v>23</v>
      </c>
      <c r="C443">
        <v>81</v>
      </c>
      <c r="D443" t="s">
        <v>53</v>
      </c>
      <c r="E443" t="s">
        <v>14</v>
      </c>
      <c r="F443">
        <v>4</v>
      </c>
      <c r="G443">
        <v>57</v>
      </c>
      <c r="H443" t="s">
        <v>1657</v>
      </c>
      <c r="I443">
        <v>15</v>
      </c>
      <c r="J443" t="s">
        <v>2</v>
      </c>
      <c r="K443" t="s">
        <v>1658</v>
      </c>
      <c r="L443" t="str">
        <f>IFERROR(IF(VALUE(tblRace2024[[#This Row],[Position]])=1,"Yes","No"),"No")</f>
        <v>No</v>
      </c>
      <c r="M443">
        <v>2024</v>
      </c>
    </row>
    <row r="444" spans="1:13" hidden="1" x14ac:dyDescent="0.45">
      <c r="A444" t="s">
        <v>1653</v>
      </c>
      <c r="B444" t="s">
        <v>28</v>
      </c>
      <c r="C444">
        <v>63</v>
      </c>
      <c r="D444" t="s">
        <v>24</v>
      </c>
      <c r="E444" t="s">
        <v>25</v>
      </c>
      <c r="F444">
        <v>1</v>
      </c>
      <c r="G444">
        <v>57</v>
      </c>
      <c r="H444" t="s">
        <v>1659</v>
      </c>
      <c r="I444">
        <v>12</v>
      </c>
      <c r="J444" t="s">
        <v>2</v>
      </c>
      <c r="K444" t="s">
        <v>1660</v>
      </c>
      <c r="L444" t="str">
        <f>IFERROR(IF(VALUE(tblRace2024[[#This Row],[Position]])=1,"Yes","No"),"No")</f>
        <v>No</v>
      </c>
      <c r="M444">
        <v>2024</v>
      </c>
    </row>
    <row r="445" spans="1:13" hidden="1" x14ac:dyDescent="0.45">
      <c r="A445" t="s">
        <v>1653</v>
      </c>
      <c r="B445" t="s">
        <v>32</v>
      </c>
      <c r="C445">
        <v>10</v>
      </c>
      <c r="D445" t="s">
        <v>61</v>
      </c>
      <c r="E445" t="s">
        <v>62</v>
      </c>
      <c r="F445">
        <v>11</v>
      </c>
      <c r="G445">
        <v>57</v>
      </c>
      <c r="H445" t="s">
        <v>1661</v>
      </c>
      <c r="I445">
        <v>10</v>
      </c>
      <c r="J445" t="s">
        <v>2</v>
      </c>
      <c r="K445" t="s">
        <v>1662</v>
      </c>
      <c r="L445" t="str">
        <f>IFERROR(IF(VALUE(tblRace2024[[#This Row],[Position]])=1,"Yes","No"),"No")</f>
        <v>No</v>
      </c>
      <c r="M445">
        <v>2024</v>
      </c>
    </row>
    <row r="446" spans="1:13" hidden="1" x14ac:dyDescent="0.45">
      <c r="A446" t="s">
        <v>1653</v>
      </c>
      <c r="B446" t="s">
        <v>37</v>
      </c>
      <c r="C446">
        <v>55</v>
      </c>
      <c r="D446" t="s">
        <v>87</v>
      </c>
      <c r="E446" t="s">
        <v>49</v>
      </c>
      <c r="F446">
        <v>7</v>
      </c>
      <c r="G446">
        <v>57</v>
      </c>
      <c r="H446" t="s">
        <v>1663</v>
      </c>
      <c r="I446">
        <v>8</v>
      </c>
      <c r="J446" t="s">
        <v>2</v>
      </c>
      <c r="K446" t="s">
        <v>1664</v>
      </c>
      <c r="L446" t="str">
        <f>IFERROR(IF(VALUE(tblRace2024[[#This Row],[Position]])=1,"Yes","No"),"No")</f>
        <v>No</v>
      </c>
      <c r="M446">
        <v>2024</v>
      </c>
    </row>
    <row r="447" spans="1:13" hidden="1" x14ac:dyDescent="0.45">
      <c r="A447" t="s">
        <v>1653</v>
      </c>
      <c r="B447" t="s">
        <v>42</v>
      </c>
      <c r="C447">
        <v>14</v>
      </c>
      <c r="D447" t="s">
        <v>85</v>
      </c>
      <c r="E447" t="s">
        <v>39</v>
      </c>
      <c r="F447">
        <v>8</v>
      </c>
      <c r="G447">
        <v>57</v>
      </c>
      <c r="H447" t="s">
        <v>1665</v>
      </c>
      <c r="I447">
        <v>6</v>
      </c>
      <c r="J447" t="s">
        <v>2</v>
      </c>
      <c r="K447" t="s">
        <v>1666</v>
      </c>
      <c r="L447" t="str">
        <f>IFERROR(IF(VALUE(tblRace2024[[#This Row],[Position]])=1,"Yes","No"),"No")</f>
        <v>No</v>
      </c>
      <c r="M447">
        <v>2024</v>
      </c>
    </row>
    <row r="448" spans="1:13" hidden="1" x14ac:dyDescent="0.45">
      <c r="A448" t="s">
        <v>1653</v>
      </c>
      <c r="B448" t="s">
        <v>47</v>
      </c>
      <c r="C448">
        <v>24</v>
      </c>
      <c r="D448" t="s">
        <v>974</v>
      </c>
      <c r="E448" t="s">
        <v>44</v>
      </c>
      <c r="F448">
        <v>12</v>
      </c>
      <c r="G448">
        <v>57</v>
      </c>
      <c r="H448" t="s">
        <v>1667</v>
      </c>
      <c r="I448">
        <v>4</v>
      </c>
      <c r="J448" t="s">
        <v>2</v>
      </c>
      <c r="K448" t="s">
        <v>1668</v>
      </c>
      <c r="L448" t="str">
        <f>IFERROR(IF(VALUE(tblRace2024[[#This Row],[Position]])=1,"Yes","No"),"No")</f>
        <v>No</v>
      </c>
      <c r="M448">
        <v>2024</v>
      </c>
    </row>
    <row r="449" spans="1:13" hidden="1" x14ac:dyDescent="0.45">
      <c r="A449" t="s">
        <v>1653</v>
      </c>
      <c r="B449" t="s">
        <v>52</v>
      </c>
      <c r="C449">
        <v>20</v>
      </c>
      <c r="D449" t="s">
        <v>976</v>
      </c>
      <c r="E449" t="s">
        <v>72</v>
      </c>
      <c r="F449">
        <v>10</v>
      </c>
      <c r="G449">
        <v>57</v>
      </c>
      <c r="H449" t="s">
        <v>1669</v>
      </c>
      <c r="I449">
        <v>2</v>
      </c>
      <c r="J449" t="s">
        <v>2</v>
      </c>
      <c r="K449" t="s">
        <v>1670</v>
      </c>
      <c r="L449" t="str">
        <f>IFERROR(IF(VALUE(tblRace2024[[#This Row],[Position]])=1,"Yes","No"),"No")</f>
        <v>No</v>
      </c>
      <c r="M449">
        <v>2024</v>
      </c>
    </row>
    <row r="450" spans="1:13" hidden="1" x14ac:dyDescent="0.45">
      <c r="A450" t="s">
        <v>1653</v>
      </c>
      <c r="B450" t="s">
        <v>56</v>
      </c>
      <c r="C450">
        <v>4</v>
      </c>
      <c r="D450" t="s">
        <v>13</v>
      </c>
      <c r="E450" t="s">
        <v>14</v>
      </c>
      <c r="F450">
        <v>3</v>
      </c>
      <c r="G450">
        <v>57</v>
      </c>
      <c r="H450" t="s">
        <v>1671</v>
      </c>
      <c r="I450">
        <v>2</v>
      </c>
      <c r="J450" t="s">
        <v>16</v>
      </c>
      <c r="K450" t="s">
        <v>1672</v>
      </c>
      <c r="L450" t="str">
        <f>IFERROR(IF(VALUE(tblRace2024[[#This Row],[Position]])=1,"Yes","No"),"No")</f>
        <v>No</v>
      </c>
      <c r="M450">
        <v>2024</v>
      </c>
    </row>
    <row r="451" spans="1:13" hidden="1" x14ac:dyDescent="0.45">
      <c r="A451" t="s">
        <v>1653</v>
      </c>
      <c r="B451" t="s">
        <v>60</v>
      </c>
      <c r="C451">
        <v>77</v>
      </c>
      <c r="D451" t="s">
        <v>986</v>
      </c>
      <c r="E451" t="s">
        <v>44</v>
      </c>
      <c r="F451">
        <v>13</v>
      </c>
      <c r="G451">
        <v>57</v>
      </c>
      <c r="H451" t="s">
        <v>1673</v>
      </c>
      <c r="I451">
        <v>0</v>
      </c>
      <c r="J451" t="s">
        <v>2</v>
      </c>
      <c r="K451" t="s">
        <v>1674</v>
      </c>
      <c r="L451" t="str">
        <f>IFERROR(IF(VALUE(tblRace2024[[#This Row],[Position]])=1,"Yes","No"),"No")</f>
        <v>No</v>
      </c>
      <c r="M451">
        <v>2024</v>
      </c>
    </row>
    <row r="452" spans="1:13" hidden="1" x14ac:dyDescent="0.45">
      <c r="A452" t="s">
        <v>1653</v>
      </c>
      <c r="B452" t="s">
        <v>65</v>
      </c>
      <c r="C452">
        <v>44</v>
      </c>
      <c r="D452" t="s">
        <v>57</v>
      </c>
      <c r="E452" t="s">
        <v>25</v>
      </c>
      <c r="F452">
        <v>6</v>
      </c>
      <c r="G452">
        <v>57</v>
      </c>
      <c r="H452" t="s">
        <v>1675</v>
      </c>
      <c r="I452">
        <v>0</v>
      </c>
      <c r="J452" t="s">
        <v>2</v>
      </c>
      <c r="K452" t="s">
        <v>1676</v>
      </c>
      <c r="L452" t="str">
        <f>IFERROR(IF(VALUE(tblRace2024[[#This Row],[Position]])=1,"Yes","No"),"No")</f>
        <v>No</v>
      </c>
      <c r="M452">
        <v>2024</v>
      </c>
    </row>
    <row r="453" spans="1:13" hidden="1" x14ac:dyDescent="0.45">
      <c r="A453" t="s">
        <v>1653</v>
      </c>
      <c r="B453" t="s">
        <v>70</v>
      </c>
      <c r="C453">
        <v>22</v>
      </c>
      <c r="D453" t="s">
        <v>66</v>
      </c>
      <c r="E453" t="s">
        <v>979</v>
      </c>
      <c r="F453">
        <v>14</v>
      </c>
      <c r="G453">
        <v>57</v>
      </c>
      <c r="H453" t="s">
        <v>1677</v>
      </c>
      <c r="I453">
        <v>0</v>
      </c>
      <c r="J453" t="s">
        <v>2</v>
      </c>
      <c r="K453" t="s">
        <v>1678</v>
      </c>
      <c r="L453" t="str">
        <f>IFERROR(IF(VALUE(tblRace2024[[#This Row],[Position]])=1,"Yes","No"),"No")</f>
        <v>No</v>
      </c>
      <c r="M453">
        <v>2024</v>
      </c>
    </row>
    <row r="454" spans="1:13" hidden="1" x14ac:dyDescent="0.45">
      <c r="A454" t="s">
        <v>1653</v>
      </c>
      <c r="B454" t="s">
        <v>75</v>
      </c>
      <c r="C454">
        <v>30</v>
      </c>
      <c r="D454" t="s">
        <v>80</v>
      </c>
      <c r="E454" t="s">
        <v>979</v>
      </c>
      <c r="F454">
        <v>17</v>
      </c>
      <c r="G454">
        <v>57</v>
      </c>
      <c r="H454" t="s">
        <v>1679</v>
      </c>
      <c r="I454">
        <v>0</v>
      </c>
      <c r="J454" t="s">
        <v>2</v>
      </c>
      <c r="K454" t="s">
        <v>1680</v>
      </c>
      <c r="L454" t="str">
        <f>IFERROR(IF(VALUE(tblRace2024[[#This Row],[Position]])=1,"Yes","No"),"No")</f>
        <v>No</v>
      </c>
      <c r="M454">
        <v>2024</v>
      </c>
    </row>
    <row r="455" spans="1:13" hidden="1" x14ac:dyDescent="0.45">
      <c r="A455" t="s">
        <v>1653</v>
      </c>
      <c r="B455" t="s">
        <v>120</v>
      </c>
      <c r="C455">
        <v>23</v>
      </c>
      <c r="D455" t="s">
        <v>33</v>
      </c>
      <c r="E455" t="s">
        <v>34</v>
      </c>
      <c r="F455">
        <v>16</v>
      </c>
      <c r="G455">
        <v>56</v>
      </c>
      <c r="H455" t="s">
        <v>118</v>
      </c>
      <c r="I455">
        <v>0</v>
      </c>
      <c r="J455" t="s">
        <v>2</v>
      </c>
      <c r="K455" t="s">
        <v>1681</v>
      </c>
      <c r="L455" t="str">
        <f>IFERROR(IF(VALUE(tblRace2024[[#This Row],[Position]])=1,"Yes","No"),"No")</f>
        <v>No</v>
      </c>
      <c r="M455">
        <v>2024</v>
      </c>
    </row>
    <row r="456" spans="1:13" hidden="1" x14ac:dyDescent="0.45">
      <c r="A456" t="s">
        <v>1653</v>
      </c>
      <c r="B456" t="s">
        <v>79</v>
      </c>
      <c r="C456">
        <v>27</v>
      </c>
      <c r="D456" t="s">
        <v>43</v>
      </c>
      <c r="E456" t="s">
        <v>72</v>
      </c>
      <c r="F456">
        <v>18</v>
      </c>
      <c r="G456">
        <v>39</v>
      </c>
      <c r="H456" t="s">
        <v>81</v>
      </c>
      <c r="I456">
        <v>0</v>
      </c>
      <c r="J456" t="s">
        <v>2</v>
      </c>
      <c r="K456" t="s">
        <v>1682</v>
      </c>
      <c r="L456" t="str">
        <f>IFERROR(IF(VALUE(tblRace2024[[#This Row],[Position]])=1,"Yes","No"),"No")</f>
        <v>No</v>
      </c>
      <c r="M456">
        <v>2024</v>
      </c>
    </row>
    <row r="457" spans="1:13" hidden="1" x14ac:dyDescent="0.45">
      <c r="A457" t="s">
        <v>1653</v>
      </c>
      <c r="B457" t="s">
        <v>79</v>
      </c>
      <c r="C457">
        <v>11</v>
      </c>
      <c r="D457" t="s">
        <v>955</v>
      </c>
      <c r="E457" t="s">
        <v>20</v>
      </c>
      <c r="F457">
        <v>9</v>
      </c>
      <c r="G457">
        <v>38</v>
      </c>
      <c r="H457" t="s">
        <v>81</v>
      </c>
      <c r="I457">
        <v>0</v>
      </c>
      <c r="J457" t="s">
        <v>2</v>
      </c>
      <c r="K457" t="s">
        <v>1683</v>
      </c>
      <c r="L457" t="str">
        <f>IFERROR(IF(VALUE(tblRace2024[[#This Row],[Position]])=1,"Yes","No"),"No")</f>
        <v>No</v>
      </c>
      <c r="M457">
        <v>2024</v>
      </c>
    </row>
    <row r="458" spans="1:13" hidden="1" x14ac:dyDescent="0.45">
      <c r="A458" t="s">
        <v>1653</v>
      </c>
      <c r="B458" t="s">
        <v>79</v>
      </c>
      <c r="C458">
        <v>18</v>
      </c>
      <c r="D458" t="s">
        <v>38</v>
      </c>
      <c r="E458" t="s">
        <v>39</v>
      </c>
      <c r="F458">
        <v>15</v>
      </c>
      <c r="G458">
        <v>8</v>
      </c>
      <c r="H458" t="s">
        <v>81</v>
      </c>
      <c r="I458">
        <v>0</v>
      </c>
      <c r="J458" t="s">
        <v>2</v>
      </c>
      <c r="K458" t="s">
        <v>1684</v>
      </c>
      <c r="L458" t="str">
        <f>IFERROR(IF(VALUE(tblRace2024[[#This Row],[Position]])=1,"Yes","No"),"No")</f>
        <v>No</v>
      </c>
      <c r="M458">
        <v>2024</v>
      </c>
    </row>
    <row r="459" spans="1:13" hidden="1" x14ac:dyDescent="0.45">
      <c r="A459" t="s">
        <v>1653</v>
      </c>
      <c r="B459" t="s">
        <v>79</v>
      </c>
      <c r="C459">
        <v>43</v>
      </c>
      <c r="D459" t="s">
        <v>308</v>
      </c>
      <c r="E459" t="s">
        <v>34</v>
      </c>
      <c r="F459">
        <v>19</v>
      </c>
      <c r="G459">
        <v>0</v>
      </c>
      <c r="H459" t="s">
        <v>81</v>
      </c>
      <c r="I459">
        <v>0</v>
      </c>
      <c r="J459" t="s">
        <v>2</v>
      </c>
      <c r="K459" t="s">
        <v>88</v>
      </c>
      <c r="L459" t="str">
        <f>IFERROR(IF(VALUE(tblRace2024[[#This Row],[Position]])=1,"Yes","No"),"No")</f>
        <v>No</v>
      </c>
      <c r="M459">
        <v>2024</v>
      </c>
    </row>
    <row r="460" spans="1:13" hidden="1" x14ac:dyDescent="0.45">
      <c r="A460" t="s">
        <v>1653</v>
      </c>
      <c r="B460" t="s">
        <v>79</v>
      </c>
      <c r="C460">
        <v>31</v>
      </c>
      <c r="D460" t="s">
        <v>71</v>
      </c>
      <c r="E460" t="s">
        <v>62</v>
      </c>
      <c r="F460">
        <v>20</v>
      </c>
      <c r="G460">
        <v>0</v>
      </c>
      <c r="H460" t="s">
        <v>81</v>
      </c>
      <c r="I460">
        <v>0</v>
      </c>
      <c r="J460" t="s">
        <v>2</v>
      </c>
      <c r="K460" t="s">
        <v>88</v>
      </c>
      <c r="L460" t="str">
        <f>IFERROR(IF(VALUE(tblRace2024[[#This Row],[Position]])=1,"Yes","No"),"No")</f>
        <v>No</v>
      </c>
      <c r="M460">
        <v>2024</v>
      </c>
    </row>
    <row r="461" spans="1:13" hidden="1" x14ac:dyDescent="0.45">
      <c r="A461" t="s">
        <v>1685</v>
      </c>
      <c r="B461" t="s">
        <v>12</v>
      </c>
      <c r="C461">
        <v>4</v>
      </c>
      <c r="D461" t="s">
        <v>13</v>
      </c>
      <c r="E461" t="s">
        <v>14</v>
      </c>
      <c r="F461">
        <v>1</v>
      </c>
      <c r="G461">
        <v>58</v>
      </c>
      <c r="H461" t="s">
        <v>1686</v>
      </c>
      <c r="I461">
        <v>25</v>
      </c>
      <c r="J461" t="s">
        <v>2</v>
      </c>
      <c r="K461" t="s">
        <v>1687</v>
      </c>
      <c r="L461" t="str">
        <f>IFERROR(IF(VALUE(tblRace2024[[#This Row],[Position]])=1,"Yes","No"),"No")</f>
        <v>Yes</v>
      </c>
      <c r="M461">
        <v>2024</v>
      </c>
    </row>
    <row r="462" spans="1:13" hidden="1" x14ac:dyDescent="0.45">
      <c r="A462" t="s">
        <v>1685</v>
      </c>
      <c r="B462" t="s">
        <v>18</v>
      </c>
      <c r="C462">
        <v>55</v>
      </c>
      <c r="D462" t="s">
        <v>87</v>
      </c>
      <c r="E462" t="s">
        <v>49</v>
      </c>
      <c r="F462">
        <v>3</v>
      </c>
      <c r="G462">
        <v>58</v>
      </c>
      <c r="H462" t="s">
        <v>1688</v>
      </c>
      <c r="I462">
        <v>18</v>
      </c>
      <c r="J462" t="s">
        <v>2</v>
      </c>
      <c r="K462" t="s">
        <v>1689</v>
      </c>
      <c r="L462" t="str">
        <f>IFERROR(IF(VALUE(tblRace2024[[#This Row],[Position]])=1,"Yes","No"),"No")</f>
        <v>No</v>
      </c>
      <c r="M462">
        <v>2024</v>
      </c>
    </row>
    <row r="463" spans="1:13" hidden="1" x14ac:dyDescent="0.45">
      <c r="A463" t="s">
        <v>1685</v>
      </c>
      <c r="B463" t="s">
        <v>23</v>
      </c>
      <c r="C463">
        <v>16</v>
      </c>
      <c r="D463" t="s">
        <v>48</v>
      </c>
      <c r="E463" t="s">
        <v>49</v>
      </c>
      <c r="F463">
        <v>19</v>
      </c>
      <c r="G463">
        <v>58</v>
      </c>
      <c r="H463" t="s">
        <v>1690</v>
      </c>
      <c r="I463">
        <v>15</v>
      </c>
      <c r="J463" t="s">
        <v>2</v>
      </c>
      <c r="K463" t="s">
        <v>1691</v>
      </c>
      <c r="L463" t="str">
        <f>IFERROR(IF(VALUE(tblRace2024[[#This Row],[Position]])=1,"Yes","No"),"No")</f>
        <v>No</v>
      </c>
      <c r="M463">
        <v>2024</v>
      </c>
    </row>
    <row r="464" spans="1:13" hidden="1" x14ac:dyDescent="0.45">
      <c r="A464" t="s">
        <v>1685</v>
      </c>
      <c r="B464" t="s">
        <v>28</v>
      </c>
      <c r="C464">
        <v>44</v>
      </c>
      <c r="D464" t="s">
        <v>57</v>
      </c>
      <c r="E464" t="s">
        <v>25</v>
      </c>
      <c r="F464">
        <v>16</v>
      </c>
      <c r="G464">
        <v>58</v>
      </c>
      <c r="H464" t="s">
        <v>1692</v>
      </c>
      <c r="I464">
        <v>12</v>
      </c>
      <c r="J464" t="s">
        <v>2</v>
      </c>
      <c r="K464" t="s">
        <v>1693</v>
      </c>
      <c r="L464" t="str">
        <f>IFERROR(IF(VALUE(tblRace2024[[#This Row],[Position]])=1,"Yes","No"),"No")</f>
        <v>No</v>
      </c>
      <c r="M464">
        <v>2024</v>
      </c>
    </row>
    <row r="465" spans="1:13" hidden="1" x14ac:dyDescent="0.45">
      <c r="A465" t="s">
        <v>1685</v>
      </c>
      <c r="B465" t="s">
        <v>32</v>
      </c>
      <c r="C465">
        <v>63</v>
      </c>
      <c r="D465" t="s">
        <v>24</v>
      </c>
      <c r="E465" t="s">
        <v>25</v>
      </c>
      <c r="F465">
        <v>6</v>
      </c>
      <c r="G465">
        <v>58</v>
      </c>
      <c r="H465" t="s">
        <v>1694</v>
      </c>
      <c r="I465">
        <v>10</v>
      </c>
      <c r="J465" t="s">
        <v>2</v>
      </c>
      <c r="K465" t="s">
        <v>1695</v>
      </c>
      <c r="L465" t="str">
        <f>IFERROR(IF(VALUE(tblRace2024[[#This Row],[Position]])=1,"Yes","No"),"No")</f>
        <v>No</v>
      </c>
      <c r="M465">
        <v>2024</v>
      </c>
    </row>
    <row r="466" spans="1:13" hidden="1" x14ac:dyDescent="0.45">
      <c r="A466" t="s">
        <v>1685</v>
      </c>
      <c r="B466" t="s">
        <v>37</v>
      </c>
      <c r="C466">
        <v>1</v>
      </c>
      <c r="D466" t="s">
        <v>19</v>
      </c>
      <c r="E466" t="s">
        <v>20</v>
      </c>
      <c r="F466">
        <v>4</v>
      </c>
      <c r="G466">
        <v>58</v>
      </c>
      <c r="H466" t="s">
        <v>1696</v>
      </c>
      <c r="I466">
        <v>8</v>
      </c>
      <c r="J466" t="s">
        <v>2</v>
      </c>
      <c r="K466" t="s">
        <v>1689</v>
      </c>
      <c r="L466" t="str">
        <f>IFERROR(IF(VALUE(tblRace2024[[#This Row],[Position]])=1,"Yes","No"),"No")</f>
        <v>No</v>
      </c>
      <c r="M466">
        <v>2024</v>
      </c>
    </row>
    <row r="467" spans="1:13" hidden="1" x14ac:dyDescent="0.45">
      <c r="A467" t="s">
        <v>1685</v>
      </c>
      <c r="B467" t="s">
        <v>42</v>
      </c>
      <c r="C467">
        <v>10</v>
      </c>
      <c r="D467" t="s">
        <v>61</v>
      </c>
      <c r="E467" t="s">
        <v>62</v>
      </c>
      <c r="F467">
        <v>5</v>
      </c>
      <c r="G467">
        <v>58</v>
      </c>
      <c r="H467" t="s">
        <v>1697</v>
      </c>
      <c r="I467">
        <v>6</v>
      </c>
      <c r="J467" t="s">
        <v>2</v>
      </c>
      <c r="K467" t="s">
        <v>1698</v>
      </c>
      <c r="L467" t="str">
        <f>IFERROR(IF(VALUE(tblRace2024[[#This Row],[Position]])=1,"Yes","No"),"No")</f>
        <v>No</v>
      </c>
      <c r="M467">
        <v>2024</v>
      </c>
    </row>
    <row r="468" spans="1:13" hidden="1" x14ac:dyDescent="0.45">
      <c r="A468" t="s">
        <v>1685</v>
      </c>
      <c r="B468" t="s">
        <v>47</v>
      </c>
      <c r="C468">
        <v>27</v>
      </c>
      <c r="D468" t="s">
        <v>43</v>
      </c>
      <c r="E468" t="s">
        <v>72</v>
      </c>
      <c r="F468">
        <v>7</v>
      </c>
      <c r="G468">
        <v>58</v>
      </c>
      <c r="H468" t="s">
        <v>1699</v>
      </c>
      <c r="I468">
        <v>4</v>
      </c>
      <c r="J468" t="s">
        <v>2</v>
      </c>
      <c r="K468" t="s">
        <v>1700</v>
      </c>
      <c r="L468" t="str">
        <f>IFERROR(IF(VALUE(tblRace2024[[#This Row],[Position]])=1,"Yes","No"),"No")</f>
        <v>No</v>
      </c>
      <c r="M468">
        <v>2024</v>
      </c>
    </row>
    <row r="469" spans="1:13" hidden="1" x14ac:dyDescent="0.45">
      <c r="A469" t="s">
        <v>1685</v>
      </c>
      <c r="B469" t="s">
        <v>52</v>
      </c>
      <c r="C469">
        <v>14</v>
      </c>
      <c r="D469" t="s">
        <v>85</v>
      </c>
      <c r="E469" t="s">
        <v>39</v>
      </c>
      <c r="F469">
        <v>8</v>
      </c>
      <c r="G469">
        <v>58</v>
      </c>
      <c r="H469" t="s">
        <v>1701</v>
      </c>
      <c r="I469">
        <v>2</v>
      </c>
      <c r="J469" t="s">
        <v>2</v>
      </c>
      <c r="K469" t="s">
        <v>1702</v>
      </c>
      <c r="L469" t="str">
        <f>IFERROR(IF(VALUE(tblRace2024[[#This Row],[Position]])=1,"Yes","No"),"No")</f>
        <v>No</v>
      </c>
      <c r="M469">
        <v>2024</v>
      </c>
    </row>
    <row r="470" spans="1:13" hidden="1" x14ac:dyDescent="0.45">
      <c r="A470" t="s">
        <v>1685</v>
      </c>
      <c r="B470" t="s">
        <v>56</v>
      </c>
      <c r="C470">
        <v>81</v>
      </c>
      <c r="D470" t="s">
        <v>53</v>
      </c>
      <c r="E470" t="s">
        <v>14</v>
      </c>
      <c r="F470">
        <v>2</v>
      </c>
      <c r="G470">
        <v>58</v>
      </c>
      <c r="H470" t="s">
        <v>1703</v>
      </c>
      <c r="I470">
        <v>1</v>
      </c>
      <c r="J470" t="s">
        <v>2</v>
      </c>
      <c r="K470" t="s">
        <v>1704</v>
      </c>
      <c r="L470" t="str">
        <f>IFERROR(IF(VALUE(tblRace2024[[#This Row],[Position]])=1,"Yes","No"),"No")</f>
        <v>No</v>
      </c>
      <c r="M470">
        <v>2024</v>
      </c>
    </row>
    <row r="471" spans="1:13" hidden="1" x14ac:dyDescent="0.45">
      <c r="A471" t="s">
        <v>1685</v>
      </c>
      <c r="B471" t="s">
        <v>60</v>
      </c>
      <c r="C471">
        <v>23</v>
      </c>
      <c r="D471" t="s">
        <v>33</v>
      </c>
      <c r="E471" t="s">
        <v>34</v>
      </c>
      <c r="F471">
        <v>18</v>
      </c>
      <c r="G471">
        <v>57</v>
      </c>
      <c r="H471" t="s">
        <v>118</v>
      </c>
      <c r="I471">
        <v>0</v>
      </c>
      <c r="J471" t="s">
        <v>2</v>
      </c>
      <c r="K471" t="s">
        <v>1302</v>
      </c>
      <c r="L471" t="str">
        <f>IFERROR(IF(VALUE(tblRace2024[[#This Row],[Position]])=1,"Yes","No"),"No")</f>
        <v>No</v>
      </c>
      <c r="M471">
        <v>2024</v>
      </c>
    </row>
    <row r="472" spans="1:13" hidden="1" x14ac:dyDescent="0.45">
      <c r="A472" t="s">
        <v>1685</v>
      </c>
      <c r="B472" t="s">
        <v>65</v>
      </c>
      <c r="C472">
        <v>22</v>
      </c>
      <c r="D472" t="s">
        <v>66</v>
      </c>
      <c r="E472" t="s">
        <v>979</v>
      </c>
      <c r="F472">
        <v>11</v>
      </c>
      <c r="G472">
        <v>57</v>
      </c>
      <c r="H472" t="s">
        <v>118</v>
      </c>
      <c r="I472">
        <v>0</v>
      </c>
      <c r="J472" t="s">
        <v>2</v>
      </c>
      <c r="K472" t="s">
        <v>1705</v>
      </c>
      <c r="L472" t="str">
        <f>IFERROR(IF(VALUE(tblRace2024[[#This Row],[Position]])=1,"Yes","No"),"No")</f>
        <v>No</v>
      </c>
      <c r="M472">
        <v>2024</v>
      </c>
    </row>
    <row r="473" spans="1:13" hidden="1" x14ac:dyDescent="0.45">
      <c r="A473" t="s">
        <v>1685</v>
      </c>
      <c r="B473" t="s">
        <v>70</v>
      </c>
      <c r="C473">
        <v>24</v>
      </c>
      <c r="D473" t="s">
        <v>974</v>
      </c>
      <c r="E473" t="s">
        <v>44</v>
      </c>
      <c r="F473">
        <v>15</v>
      </c>
      <c r="G473">
        <v>57</v>
      </c>
      <c r="H473" t="s">
        <v>118</v>
      </c>
      <c r="I473">
        <v>0</v>
      </c>
      <c r="J473" t="s">
        <v>2</v>
      </c>
      <c r="K473" t="s">
        <v>1706</v>
      </c>
      <c r="L473" t="str">
        <f>IFERROR(IF(VALUE(tblRace2024[[#This Row],[Position]])=1,"Yes","No"),"No")</f>
        <v>No</v>
      </c>
      <c r="M473">
        <v>2024</v>
      </c>
    </row>
    <row r="474" spans="1:13" hidden="1" x14ac:dyDescent="0.45">
      <c r="A474" t="s">
        <v>1685</v>
      </c>
      <c r="B474" t="s">
        <v>75</v>
      </c>
      <c r="C474">
        <v>18</v>
      </c>
      <c r="D474" t="s">
        <v>38</v>
      </c>
      <c r="E474" t="s">
        <v>39</v>
      </c>
      <c r="F474">
        <v>13</v>
      </c>
      <c r="G474">
        <v>57</v>
      </c>
      <c r="H474" t="s">
        <v>118</v>
      </c>
      <c r="I474">
        <v>0</v>
      </c>
      <c r="J474" t="s">
        <v>2</v>
      </c>
      <c r="K474" t="s">
        <v>1707</v>
      </c>
      <c r="L474" t="str">
        <f>IFERROR(IF(VALUE(tblRace2024[[#This Row],[Position]])=1,"Yes","No"),"No")</f>
        <v>No</v>
      </c>
      <c r="M474">
        <v>2024</v>
      </c>
    </row>
    <row r="475" spans="1:13" hidden="1" x14ac:dyDescent="0.45">
      <c r="A475" t="s">
        <v>1685</v>
      </c>
      <c r="B475" t="s">
        <v>120</v>
      </c>
      <c r="C475">
        <v>61</v>
      </c>
      <c r="D475" t="s">
        <v>89</v>
      </c>
      <c r="E475" t="s">
        <v>62</v>
      </c>
      <c r="F475">
        <v>17</v>
      </c>
      <c r="G475">
        <v>57</v>
      </c>
      <c r="H475" t="s">
        <v>118</v>
      </c>
      <c r="I475">
        <v>0</v>
      </c>
      <c r="J475" t="s">
        <v>2</v>
      </c>
      <c r="K475" t="s">
        <v>1708</v>
      </c>
      <c r="L475" t="str">
        <f>IFERROR(IF(VALUE(tblRace2024[[#This Row],[Position]])=1,"Yes","No"),"No")</f>
        <v>No</v>
      </c>
      <c r="M475">
        <v>2024</v>
      </c>
    </row>
    <row r="476" spans="1:13" hidden="1" x14ac:dyDescent="0.45">
      <c r="A476" t="s">
        <v>1685</v>
      </c>
      <c r="B476" t="s">
        <v>122</v>
      </c>
      <c r="C476">
        <v>20</v>
      </c>
      <c r="D476" t="s">
        <v>976</v>
      </c>
      <c r="E476" t="s">
        <v>72</v>
      </c>
      <c r="F476">
        <v>14</v>
      </c>
      <c r="G476">
        <v>57</v>
      </c>
      <c r="H476" t="s">
        <v>118</v>
      </c>
      <c r="I476">
        <v>0</v>
      </c>
      <c r="J476" t="s">
        <v>16</v>
      </c>
      <c r="K476" t="s">
        <v>1709</v>
      </c>
      <c r="L476" t="str">
        <f>IFERROR(IF(VALUE(tblRace2024[[#This Row],[Position]])=1,"Yes","No"),"No")</f>
        <v>No</v>
      </c>
      <c r="M476">
        <v>2024</v>
      </c>
    </row>
    <row r="477" spans="1:13" hidden="1" x14ac:dyDescent="0.45">
      <c r="A477" t="s">
        <v>1685</v>
      </c>
      <c r="B477" t="s">
        <v>163</v>
      </c>
      <c r="C477">
        <v>30</v>
      </c>
      <c r="D477" t="s">
        <v>80</v>
      </c>
      <c r="E477" t="s">
        <v>979</v>
      </c>
      <c r="F477">
        <v>12</v>
      </c>
      <c r="G477">
        <v>55</v>
      </c>
      <c r="H477" t="s">
        <v>81</v>
      </c>
      <c r="I477">
        <v>0</v>
      </c>
      <c r="J477" t="s">
        <v>2</v>
      </c>
      <c r="K477" t="s">
        <v>1710</v>
      </c>
      <c r="L477" t="str">
        <f>IFERROR(IF(VALUE(tblRace2024[[#This Row],[Position]])=1,"Yes","No"),"No")</f>
        <v>No</v>
      </c>
      <c r="M477">
        <v>2024</v>
      </c>
    </row>
    <row r="478" spans="1:13" hidden="1" x14ac:dyDescent="0.45">
      <c r="A478" t="s">
        <v>1685</v>
      </c>
      <c r="B478" t="s">
        <v>79</v>
      </c>
      <c r="C478">
        <v>77</v>
      </c>
      <c r="D478" t="s">
        <v>986</v>
      </c>
      <c r="E478" t="s">
        <v>44</v>
      </c>
      <c r="F478">
        <v>9</v>
      </c>
      <c r="G478">
        <v>30</v>
      </c>
      <c r="H478" t="s">
        <v>81</v>
      </c>
      <c r="I478">
        <v>0</v>
      </c>
      <c r="J478" t="s">
        <v>2</v>
      </c>
      <c r="K478" t="s">
        <v>1711</v>
      </c>
      <c r="L478" t="str">
        <f>IFERROR(IF(VALUE(tblRace2024[[#This Row],[Position]])=1,"Yes","No"),"No")</f>
        <v>No</v>
      </c>
      <c r="M478">
        <v>2024</v>
      </c>
    </row>
    <row r="479" spans="1:13" hidden="1" x14ac:dyDescent="0.45">
      <c r="A479" t="s">
        <v>1685</v>
      </c>
      <c r="B479" t="s">
        <v>79</v>
      </c>
      <c r="C479">
        <v>43</v>
      </c>
      <c r="D479" t="s">
        <v>308</v>
      </c>
      <c r="E479" t="s">
        <v>34</v>
      </c>
      <c r="F479">
        <v>20</v>
      </c>
      <c r="G479">
        <v>26</v>
      </c>
      <c r="H479" t="s">
        <v>81</v>
      </c>
      <c r="I479">
        <v>0</v>
      </c>
      <c r="J479" t="s">
        <v>2</v>
      </c>
      <c r="K479" t="s">
        <v>1712</v>
      </c>
      <c r="L479" t="str">
        <f>IFERROR(IF(VALUE(tblRace2024[[#This Row],[Position]])=1,"Yes","No"),"No")</f>
        <v>No</v>
      </c>
      <c r="M479">
        <v>2024</v>
      </c>
    </row>
    <row r="480" spans="1:13" hidden="1" x14ac:dyDescent="0.45">
      <c r="A480" t="s">
        <v>1685</v>
      </c>
      <c r="B480" t="s">
        <v>79</v>
      </c>
      <c r="C480">
        <v>11</v>
      </c>
      <c r="D480" t="s">
        <v>955</v>
      </c>
      <c r="E480" t="s">
        <v>20</v>
      </c>
      <c r="F480">
        <v>10</v>
      </c>
      <c r="G480">
        <v>0</v>
      </c>
      <c r="H480" t="s">
        <v>81</v>
      </c>
      <c r="I480">
        <v>0</v>
      </c>
      <c r="J480" t="s">
        <v>2</v>
      </c>
      <c r="K480" t="s">
        <v>88</v>
      </c>
      <c r="L480" t="str">
        <f>IFERROR(IF(VALUE(tblRace2024[[#This Row],[Position]])=1,"Yes","No"),"No")</f>
        <v>No</v>
      </c>
      <c r="M480">
        <v>2024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C12F-A2E3-4C23-87B9-7E1DF1681C3B}">
  <dimension ref="A1:I479"/>
  <sheetViews>
    <sheetView workbookViewId="0">
      <pane ySplit="1" topLeftCell="A457" activePane="bottomLeft" state="frozen"/>
      <selection pane="bottomLeft" activeCell="K468" sqref="K468"/>
    </sheetView>
  </sheetViews>
  <sheetFormatPr defaultRowHeight="14.25" x14ac:dyDescent="0.45"/>
  <cols>
    <col min="1" max="1" width="13.46484375" bestFit="1" customWidth="1"/>
    <col min="2" max="2" width="9.53125" bestFit="1" customWidth="1"/>
    <col min="3" max="3" width="5.265625" bestFit="1" customWidth="1"/>
    <col min="4" max="4" width="14.46484375" bestFit="1" customWidth="1"/>
    <col min="5" max="5" width="26.06640625" bestFit="1" customWidth="1"/>
    <col min="6" max="6" width="7.796875" bestFit="1" customWidth="1"/>
    <col min="7" max="7" width="8.19921875" bestFit="1" customWidth="1"/>
    <col min="8" max="8" width="7.73046875" bestFit="1" customWidth="1"/>
    <col min="9" max="9" width="6.53125" bestFit="1" customWidth="1"/>
  </cols>
  <sheetData>
    <row r="1" spans="1:9" x14ac:dyDescent="0.45">
      <c r="A1" t="s">
        <v>0</v>
      </c>
      <c r="B1" t="s">
        <v>1</v>
      </c>
      <c r="C1" t="s">
        <v>2</v>
      </c>
      <c r="D1" t="s">
        <v>3</v>
      </c>
      <c r="E1" t="s">
        <v>4</v>
      </c>
      <c r="F1" t="s">
        <v>382</v>
      </c>
      <c r="G1" t="s">
        <v>383</v>
      </c>
      <c r="H1" t="s">
        <v>384</v>
      </c>
      <c r="I1" t="s">
        <v>6</v>
      </c>
    </row>
    <row r="2" spans="1:9" x14ac:dyDescent="0.45">
      <c r="A2" t="s">
        <v>174</v>
      </c>
      <c r="B2" t="s">
        <v>12</v>
      </c>
      <c r="C2">
        <v>1</v>
      </c>
      <c r="D2" t="s">
        <v>19</v>
      </c>
      <c r="E2" t="s">
        <v>20</v>
      </c>
      <c r="F2" t="s">
        <v>1713</v>
      </c>
      <c r="G2" t="s">
        <v>1714</v>
      </c>
      <c r="H2" t="s">
        <v>1715</v>
      </c>
      <c r="I2">
        <v>17</v>
      </c>
    </row>
    <row r="3" spans="1:9" x14ac:dyDescent="0.45">
      <c r="A3" t="s">
        <v>174</v>
      </c>
      <c r="B3" t="s">
        <v>18</v>
      </c>
      <c r="C3">
        <v>16</v>
      </c>
      <c r="D3" t="s">
        <v>48</v>
      </c>
      <c r="E3" t="s">
        <v>49</v>
      </c>
      <c r="F3" t="s">
        <v>1716</v>
      </c>
      <c r="G3" t="s">
        <v>1717</v>
      </c>
      <c r="H3" t="s">
        <v>1718</v>
      </c>
      <c r="I3">
        <v>19</v>
      </c>
    </row>
    <row r="4" spans="1:9" x14ac:dyDescent="0.45">
      <c r="A4" t="s">
        <v>174</v>
      </c>
      <c r="B4" t="s">
        <v>23</v>
      </c>
      <c r="C4">
        <v>63</v>
      </c>
      <c r="D4" t="s">
        <v>24</v>
      </c>
      <c r="E4" t="s">
        <v>25</v>
      </c>
      <c r="F4" t="s">
        <v>1719</v>
      </c>
      <c r="G4" t="s">
        <v>1720</v>
      </c>
      <c r="H4" t="s">
        <v>1721</v>
      </c>
      <c r="I4">
        <v>17</v>
      </c>
    </row>
    <row r="5" spans="1:9" x14ac:dyDescent="0.45">
      <c r="A5" t="s">
        <v>174</v>
      </c>
      <c r="B5" t="s">
        <v>28</v>
      </c>
      <c r="C5">
        <v>55</v>
      </c>
      <c r="D5" t="s">
        <v>87</v>
      </c>
      <c r="E5" t="s">
        <v>49</v>
      </c>
      <c r="F5" t="s">
        <v>1722</v>
      </c>
      <c r="G5" t="s">
        <v>1723</v>
      </c>
      <c r="H5" t="s">
        <v>1724</v>
      </c>
      <c r="I5">
        <v>18</v>
      </c>
    </row>
    <row r="6" spans="1:9" x14ac:dyDescent="0.45">
      <c r="A6" t="s">
        <v>174</v>
      </c>
      <c r="B6" t="s">
        <v>32</v>
      </c>
      <c r="C6">
        <v>11</v>
      </c>
      <c r="D6" t="s">
        <v>955</v>
      </c>
      <c r="E6" t="s">
        <v>20</v>
      </c>
      <c r="F6" t="s">
        <v>1725</v>
      </c>
      <c r="G6" t="s">
        <v>1726</v>
      </c>
      <c r="H6" t="s">
        <v>1727</v>
      </c>
      <c r="I6">
        <v>17</v>
      </c>
    </row>
    <row r="7" spans="1:9" x14ac:dyDescent="0.45">
      <c r="A7" t="s">
        <v>174</v>
      </c>
      <c r="B7" t="s">
        <v>37</v>
      </c>
      <c r="C7">
        <v>14</v>
      </c>
      <c r="D7" t="s">
        <v>85</v>
      </c>
      <c r="E7" t="s">
        <v>39</v>
      </c>
      <c r="F7" t="s">
        <v>1728</v>
      </c>
      <c r="G7" t="s">
        <v>1729</v>
      </c>
      <c r="H7" t="s">
        <v>1730</v>
      </c>
      <c r="I7">
        <v>14</v>
      </c>
    </row>
    <row r="8" spans="1:9" x14ac:dyDescent="0.45">
      <c r="A8" t="s">
        <v>174</v>
      </c>
      <c r="B8" t="s">
        <v>42</v>
      </c>
      <c r="C8">
        <v>4</v>
      </c>
      <c r="D8" t="s">
        <v>13</v>
      </c>
      <c r="E8" t="s">
        <v>14</v>
      </c>
      <c r="F8" t="s">
        <v>1731</v>
      </c>
      <c r="G8" t="s">
        <v>1732</v>
      </c>
      <c r="H8" t="s">
        <v>1733</v>
      </c>
      <c r="I8">
        <v>15</v>
      </c>
    </row>
    <row r="9" spans="1:9" x14ac:dyDescent="0.45">
      <c r="A9" t="s">
        <v>174</v>
      </c>
      <c r="B9" t="s">
        <v>47</v>
      </c>
      <c r="C9">
        <v>81</v>
      </c>
      <c r="D9" t="s">
        <v>53</v>
      </c>
      <c r="E9" t="s">
        <v>14</v>
      </c>
      <c r="F9" t="s">
        <v>1734</v>
      </c>
      <c r="G9" t="s">
        <v>1735</v>
      </c>
      <c r="H9" t="s">
        <v>1736</v>
      </c>
      <c r="I9">
        <v>18</v>
      </c>
    </row>
    <row r="10" spans="1:9" x14ac:dyDescent="0.45">
      <c r="A10" t="s">
        <v>174</v>
      </c>
      <c r="B10" t="s">
        <v>52</v>
      </c>
      <c r="C10">
        <v>44</v>
      </c>
      <c r="D10" t="s">
        <v>57</v>
      </c>
      <c r="E10" t="s">
        <v>25</v>
      </c>
      <c r="F10" t="s">
        <v>1737</v>
      </c>
      <c r="G10" t="s">
        <v>1318</v>
      </c>
      <c r="H10" t="s">
        <v>1316</v>
      </c>
      <c r="I10">
        <v>18</v>
      </c>
    </row>
    <row r="11" spans="1:9" x14ac:dyDescent="0.45">
      <c r="A11" t="s">
        <v>174</v>
      </c>
      <c r="B11" t="s">
        <v>56</v>
      </c>
      <c r="C11">
        <v>27</v>
      </c>
      <c r="D11" t="s">
        <v>43</v>
      </c>
      <c r="E11" t="s">
        <v>72</v>
      </c>
      <c r="F11" t="s">
        <v>1738</v>
      </c>
      <c r="G11" t="s">
        <v>1739</v>
      </c>
      <c r="H11" t="s">
        <v>1740</v>
      </c>
      <c r="I11">
        <v>18</v>
      </c>
    </row>
    <row r="12" spans="1:9" x14ac:dyDescent="0.45">
      <c r="A12" t="s">
        <v>174</v>
      </c>
      <c r="B12" t="s">
        <v>60</v>
      </c>
      <c r="C12">
        <v>22</v>
      </c>
      <c r="D12" t="s">
        <v>66</v>
      </c>
      <c r="E12" t="s">
        <v>979</v>
      </c>
      <c r="F12" t="s">
        <v>1741</v>
      </c>
      <c r="G12" t="s">
        <v>1742</v>
      </c>
      <c r="H12" t="s">
        <v>88</v>
      </c>
      <c r="I12">
        <v>12</v>
      </c>
    </row>
    <row r="13" spans="1:9" x14ac:dyDescent="0.45">
      <c r="A13" t="s">
        <v>174</v>
      </c>
      <c r="B13" t="s">
        <v>65</v>
      </c>
      <c r="C13">
        <v>18</v>
      </c>
      <c r="D13" t="s">
        <v>38</v>
      </c>
      <c r="E13" t="s">
        <v>39</v>
      </c>
      <c r="F13" t="s">
        <v>1743</v>
      </c>
      <c r="G13" t="s">
        <v>1744</v>
      </c>
      <c r="H13" t="s">
        <v>88</v>
      </c>
      <c r="I13">
        <v>12</v>
      </c>
    </row>
    <row r="14" spans="1:9" x14ac:dyDescent="0.45">
      <c r="A14" t="s">
        <v>174</v>
      </c>
      <c r="B14" t="s">
        <v>70</v>
      </c>
      <c r="C14">
        <v>23</v>
      </c>
      <c r="D14" t="s">
        <v>33</v>
      </c>
      <c r="E14" t="s">
        <v>34</v>
      </c>
      <c r="F14" t="s">
        <v>1745</v>
      </c>
      <c r="G14" t="s">
        <v>1725</v>
      </c>
      <c r="H14" t="s">
        <v>88</v>
      </c>
      <c r="I14">
        <v>12</v>
      </c>
    </row>
    <row r="15" spans="1:9" x14ac:dyDescent="0.45">
      <c r="A15" t="s">
        <v>174</v>
      </c>
      <c r="B15" t="s">
        <v>75</v>
      </c>
      <c r="C15">
        <v>3</v>
      </c>
      <c r="D15" t="s">
        <v>978</v>
      </c>
      <c r="E15" t="s">
        <v>979</v>
      </c>
      <c r="F15" t="s">
        <v>262</v>
      </c>
      <c r="G15" t="s">
        <v>1746</v>
      </c>
      <c r="H15" t="s">
        <v>88</v>
      </c>
      <c r="I15">
        <v>12</v>
      </c>
    </row>
    <row r="16" spans="1:9" x14ac:dyDescent="0.45">
      <c r="A16" t="s">
        <v>174</v>
      </c>
      <c r="B16" t="s">
        <v>120</v>
      </c>
      <c r="C16">
        <v>20</v>
      </c>
      <c r="D16" t="s">
        <v>976</v>
      </c>
      <c r="E16" t="s">
        <v>72</v>
      </c>
      <c r="F16" t="s">
        <v>1747</v>
      </c>
      <c r="G16" t="s">
        <v>1748</v>
      </c>
      <c r="H16" t="s">
        <v>88</v>
      </c>
      <c r="I16">
        <v>12</v>
      </c>
    </row>
    <row r="17" spans="1:9" x14ac:dyDescent="0.45">
      <c r="A17" t="s">
        <v>174</v>
      </c>
      <c r="B17" t="s">
        <v>122</v>
      </c>
      <c r="C17">
        <v>77</v>
      </c>
      <c r="D17" t="s">
        <v>986</v>
      </c>
      <c r="E17" t="s">
        <v>44</v>
      </c>
      <c r="F17" t="s">
        <v>1749</v>
      </c>
      <c r="G17" t="s">
        <v>88</v>
      </c>
      <c r="H17" t="s">
        <v>88</v>
      </c>
      <c r="I17">
        <v>6</v>
      </c>
    </row>
    <row r="18" spans="1:9" x14ac:dyDescent="0.45">
      <c r="A18" t="s">
        <v>174</v>
      </c>
      <c r="B18" t="s">
        <v>163</v>
      </c>
      <c r="C18">
        <v>24</v>
      </c>
      <c r="D18" t="s">
        <v>974</v>
      </c>
      <c r="E18" t="s">
        <v>44</v>
      </c>
      <c r="F18" t="s">
        <v>1750</v>
      </c>
      <c r="G18" t="s">
        <v>88</v>
      </c>
      <c r="H18" t="s">
        <v>88</v>
      </c>
      <c r="I18">
        <v>6</v>
      </c>
    </row>
    <row r="19" spans="1:9" x14ac:dyDescent="0.45">
      <c r="A19" t="s">
        <v>174</v>
      </c>
      <c r="B19" t="s">
        <v>166</v>
      </c>
      <c r="C19">
        <v>2</v>
      </c>
      <c r="D19" t="s">
        <v>988</v>
      </c>
      <c r="E19" t="s">
        <v>34</v>
      </c>
      <c r="F19" t="s">
        <v>1751</v>
      </c>
      <c r="G19" t="s">
        <v>88</v>
      </c>
      <c r="H19" t="s">
        <v>88</v>
      </c>
      <c r="I19">
        <v>6</v>
      </c>
    </row>
    <row r="20" spans="1:9" x14ac:dyDescent="0.45">
      <c r="A20" t="s">
        <v>174</v>
      </c>
      <c r="B20" t="s">
        <v>169</v>
      </c>
      <c r="C20">
        <v>31</v>
      </c>
      <c r="D20" t="s">
        <v>71</v>
      </c>
      <c r="E20" t="s">
        <v>62</v>
      </c>
      <c r="F20" t="s">
        <v>437</v>
      </c>
      <c r="G20" t="s">
        <v>88</v>
      </c>
      <c r="H20" t="s">
        <v>88</v>
      </c>
      <c r="I20">
        <v>9</v>
      </c>
    </row>
    <row r="21" spans="1:9" x14ac:dyDescent="0.45">
      <c r="A21" t="s">
        <v>174</v>
      </c>
      <c r="B21" t="s">
        <v>172</v>
      </c>
      <c r="C21">
        <v>10</v>
      </c>
      <c r="D21" t="s">
        <v>61</v>
      </c>
      <c r="E21" t="s">
        <v>62</v>
      </c>
      <c r="F21" t="s">
        <v>1752</v>
      </c>
      <c r="G21" t="s">
        <v>88</v>
      </c>
      <c r="H21" t="s">
        <v>88</v>
      </c>
      <c r="I21">
        <v>9</v>
      </c>
    </row>
    <row r="22" spans="1:9" x14ac:dyDescent="0.45">
      <c r="A22" t="s">
        <v>213</v>
      </c>
      <c r="B22" t="s">
        <v>12</v>
      </c>
      <c r="C22">
        <v>1</v>
      </c>
      <c r="D22" t="s">
        <v>19</v>
      </c>
      <c r="E22" t="s">
        <v>20</v>
      </c>
      <c r="F22" t="s">
        <v>1753</v>
      </c>
      <c r="G22" t="s">
        <v>1754</v>
      </c>
      <c r="H22" t="s">
        <v>1755</v>
      </c>
      <c r="I22">
        <v>18</v>
      </c>
    </row>
    <row r="23" spans="1:9" x14ac:dyDescent="0.45">
      <c r="A23" t="s">
        <v>213</v>
      </c>
      <c r="B23" t="s">
        <v>18</v>
      </c>
      <c r="C23">
        <v>16</v>
      </c>
      <c r="D23" t="s">
        <v>48</v>
      </c>
      <c r="E23" t="s">
        <v>49</v>
      </c>
      <c r="F23" t="s">
        <v>1756</v>
      </c>
      <c r="G23" t="s">
        <v>1757</v>
      </c>
      <c r="H23" t="s">
        <v>1758</v>
      </c>
      <c r="I23">
        <v>23</v>
      </c>
    </row>
    <row r="24" spans="1:9" x14ac:dyDescent="0.45">
      <c r="A24" t="s">
        <v>213</v>
      </c>
      <c r="B24" t="s">
        <v>23</v>
      </c>
      <c r="C24">
        <v>11</v>
      </c>
      <c r="D24" t="s">
        <v>955</v>
      </c>
      <c r="E24" t="s">
        <v>20</v>
      </c>
      <c r="F24" t="s">
        <v>1759</v>
      </c>
      <c r="G24" t="s">
        <v>1760</v>
      </c>
      <c r="H24" t="s">
        <v>1761</v>
      </c>
      <c r="I24">
        <v>19</v>
      </c>
    </row>
    <row r="25" spans="1:9" x14ac:dyDescent="0.45">
      <c r="A25" t="s">
        <v>213</v>
      </c>
      <c r="B25" t="s">
        <v>28</v>
      </c>
      <c r="C25">
        <v>14</v>
      </c>
      <c r="D25" t="s">
        <v>85</v>
      </c>
      <c r="E25" t="s">
        <v>39</v>
      </c>
      <c r="F25" t="s">
        <v>1762</v>
      </c>
      <c r="G25" t="s">
        <v>1763</v>
      </c>
      <c r="H25" t="s">
        <v>1764</v>
      </c>
      <c r="I25">
        <v>17</v>
      </c>
    </row>
    <row r="26" spans="1:9" x14ac:dyDescent="0.45">
      <c r="A26" t="s">
        <v>213</v>
      </c>
      <c r="B26" t="s">
        <v>32</v>
      </c>
      <c r="C26">
        <v>81</v>
      </c>
      <c r="D26" t="s">
        <v>53</v>
      </c>
      <c r="E26" t="s">
        <v>14</v>
      </c>
      <c r="F26" t="s">
        <v>1765</v>
      </c>
      <c r="G26" t="s">
        <v>1766</v>
      </c>
      <c r="H26" t="s">
        <v>1767</v>
      </c>
      <c r="I26">
        <v>22</v>
      </c>
    </row>
    <row r="27" spans="1:9" x14ac:dyDescent="0.45">
      <c r="A27" t="s">
        <v>213</v>
      </c>
      <c r="B27" t="s">
        <v>37</v>
      </c>
      <c r="C27">
        <v>4</v>
      </c>
      <c r="D27" t="s">
        <v>13</v>
      </c>
      <c r="E27" t="s">
        <v>14</v>
      </c>
      <c r="F27" t="s">
        <v>1768</v>
      </c>
      <c r="G27" t="s">
        <v>1769</v>
      </c>
      <c r="H27" t="s">
        <v>1770</v>
      </c>
      <c r="I27">
        <v>22</v>
      </c>
    </row>
    <row r="28" spans="1:9" x14ac:dyDescent="0.45">
      <c r="A28" t="s">
        <v>213</v>
      </c>
      <c r="B28" t="s">
        <v>42</v>
      </c>
      <c r="C28">
        <v>63</v>
      </c>
      <c r="D28" t="s">
        <v>24</v>
      </c>
      <c r="E28" t="s">
        <v>25</v>
      </c>
      <c r="F28" t="s">
        <v>1771</v>
      </c>
      <c r="G28" t="s">
        <v>1772</v>
      </c>
      <c r="H28" t="s">
        <v>1773</v>
      </c>
      <c r="I28">
        <v>22</v>
      </c>
    </row>
    <row r="29" spans="1:9" x14ac:dyDescent="0.45">
      <c r="A29" t="s">
        <v>213</v>
      </c>
      <c r="B29" t="s">
        <v>47</v>
      </c>
      <c r="C29">
        <v>44</v>
      </c>
      <c r="D29" t="s">
        <v>57</v>
      </c>
      <c r="E29" t="s">
        <v>25</v>
      </c>
      <c r="F29" t="s">
        <v>1774</v>
      </c>
      <c r="G29" t="s">
        <v>1775</v>
      </c>
      <c r="H29" t="s">
        <v>1776</v>
      </c>
      <c r="I29">
        <v>24</v>
      </c>
    </row>
    <row r="30" spans="1:9" x14ac:dyDescent="0.45">
      <c r="A30" t="s">
        <v>213</v>
      </c>
      <c r="B30" t="s">
        <v>52</v>
      </c>
      <c r="C30">
        <v>22</v>
      </c>
      <c r="D30" t="s">
        <v>66</v>
      </c>
      <c r="E30" t="s">
        <v>979</v>
      </c>
      <c r="F30" t="s">
        <v>1777</v>
      </c>
      <c r="G30" t="s">
        <v>1778</v>
      </c>
      <c r="H30" t="s">
        <v>1779</v>
      </c>
      <c r="I30">
        <v>18</v>
      </c>
    </row>
    <row r="31" spans="1:9" x14ac:dyDescent="0.45">
      <c r="A31" t="s">
        <v>213</v>
      </c>
      <c r="B31" t="s">
        <v>56</v>
      </c>
      <c r="C31">
        <v>18</v>
      </c>
      <c r="D31" t="s">
        <v>38</v>
      </c>
      <c r="E31" t="s">
        <v>39</v>
      </c>
      <c r="F31" t="s">
        <v>1780</v>
      </c>
      <c r="G31" t="s">
        <v>1781</v>
      </c>
      <c r="H31" t="s">
        <v>1782</v>
      </c>
      <c r="I31">
        <v>19</v>
      </c>
    </row>
    <row r="32" spans="1:9" x14ac:dyDescent="0.45">
      <c r="A32" t="s">
        <v>213</v>
      </c>
      <c r="B32" t="s">
        <v>60</v>
      </c>
      <c r="C32">
        <v>38</v>
      </c>
      <c r="D32" t="s">
        <v>76</v>
      </c>
      <c r="E32" t="s">
        <v>49</v>
      </c>
      <c r="F32" t="s">
        <v>1783</v>
      </c>
      <c r="G32" t="s">
        <v>1784</v>
      </c>
      <c r="H32" t="s">
        <v>88</v>
      </c>
      <c r="I32">
        <v>18</v>
      </c>
    </row>
    <row r="33" spans="1:9" x14ac:dyDescent="0.45">
      <c r="A33" t="s">
        <v>213</v>
      </c>
      <c r="B33" t="s">
        <v>65</v>
      </c>
      <c r="C33">
        <v>23</v>
      </c>
      <c r="D33" t="s">
        <v>33</v>
      </c>
      <c r="E33" t="s">
        <v>34</v>
      </c>
      <c r="F33" t="s">
        <v>1785</v>
      </c>
      <c r="G33" t="s">
        <v>1786</v>
      </c>
      <c r="H33" t="s">
        <v>88</v>
      </c>
      <c r="I33">
        <v>16</v>
      </c>
    </row>
    <row r="34" spans="1:9" x14ac:dyDescent="0.45">
      <c r="A34" t="s">
        <v>213</v>
      </c>
      <c r="B34" t="s">
        <v>70</v>
      </c>
      <c r="C34">
        <v>20</v>
      </c>
      <c r="D34" t="s">
        <v>976</v>
      </c>
      <c r="E34" t="s">
        <v>72</v>
      </c>
      <c r="F34" t="s">
        <v>1787</v>
      </c>
      <c r="G34" t="s">
        <v>1788</v>
      </c>
      <c r="H34" t="s">
        <v>88</v>
      </c>
      <c r="I34">
        <v>17</v>
      </c>
    </row>
    <row r="35" spans="1:9" x14ac:dyDescent="0.45">
      <c r="A35" t="s">
        <v>213</v>
      </c>
      <c r="B35" t="s">
        <v>75</v>
      </c>
      <c r="C35">
        <v>3</v>
      </c>
      <c r="D35" t="s">
        <v>978</v>
      </c>
      <c r="E35" t="s">
        <v>979</v>
      </c>
      <c r="F35" t="s">
        <v>1789</v>
      </c>
      <c r="G35" t="s">
        <v>1790</v>
      </c>
      <c r="H35" t="s">
        <v>88</v>
      </c>
      <c r="I35">
        <v>12</v>
      </c>
    </row>
    <row r="36" spans="1:9" x14ac:dyDescent="0.45">
      <c r="A36" t="s">
        <v>213</v>
      </c>
      <c r="B36" t="s">
        <v>120</v>
      </c>
      <c r="C36">
        <v>27</v>
      </c>
      <c r="D36" t="s">
        <v>43</v>
      </c>
      <c r="E36" t="s">
        <v>72</v>
      </c>
      <c r="F36" t="s">
        <v>1791</v>
      </c>
      <c r="G36" t="s">
        <v>81</v>
      </c>
      <c r="H36" t="s">
        <v>88</v>
      </c>
      <c r="I36">
        <v>10</v>
      </c>
    </row>
    <row r="37" spans="1:9" x14ac:dyDescent="0.45">
      <c r="A37" t="s">
        <v>213</v>
      </c>
      <c r="B37" t="s">
        <v>122</v>
      </c>
      <c r="C37">
        <v>77</v>
      </c>
      <c r="D37" t="s">
        <v>986</v>
      </c>
      <c r="E37" t="s">
        <v>44</v>
      </c>
      <c r="F37" t="s">
        <v>1715</v>
      </c>
      <c r="G37" t="s">
        <v>88</v>
      </c>
      <c r="H37" t="s">
        <v>88</v>
      </c>
      <c r="I37">
        <v>9</v>
      </c>
    </row>
    <row r="38" spans="1:9" x14ac:dyDescent="0.45">
      <c r="A38" t="s">
        <v>213</v>
      </c>
      <c r="B38" t="s">
        <v>163</v>
      </c>
      <c r="C38">
        <v>31</v>
      </c>
      <c r="D38" t="s">
        <v>71</v>
      </c>
      <c r="E38" t="s">
        <v>62</v>
      </c>
      <c r="F38" t="s">
        <v>1792</v>
      </c>
      <c r="G38" t="s">
        <v>88</v>
      </c>
      <c r="H38" t="s">
        <v>88</v>
      </c>
      <c r="I38">
        <v>10</v>
      </c>
    </row>
    <row r="39" spans="1:9" x14ac:dyDescent="0.45">
      <c r="A39" t="s">
        <v>213</v>
      </c>
      <c r="B39" t="s">
        <v>166</v>
      </c>
      <c r="C39">
        <v>10</v>
      </c>
      <c r="D39" t="s">
        <v>61</v>
      </c>
      <c r="E39" t="s">
        <v>62</v>
      </c>
      <c r="F39" t="s">
        <v>1793</v>
      </c>
      <c r="G39" t="s">
        <v>88</v>
      </c>
      <c r="H39" t="s">
        <v>88</v>
      </c>
      <c r="I39">
        <v>9</v>
      </c>
    </row>
    <row r="40" spans="1:9" x14ac:dyDescent="0.45">
      <c r="A40" t="s">
        <v>213</v>
      </c>
      <c r="B40" t="s">
        <v>169</v>
      </c>
      <c r="C40">
        <v>2</v>
      </c>
      <c r="D40" t="s">
        <v>988</v>
      </c>
      <c r="E40" t="s">
        <v>34</v>
      </c>
      <c r="F40" t="s">
        <v>1794</v>
      </c>
      <c r="G40" t="s">
        <v>88</v>
      </c>
      <c r="H40" t="s">
        <v>88</v>
      </c>
      <c r="I40">
        <v>9</v>
      </c>
    </row>
    <row r="41" spans="1:9" x14ac:dyDescent="0.45">
      <c r="A41" t="s">
        <v>213</v>
      </c>
      <c r="B41" t="s">
        <v>79</v>
      </c>
      <c r="C41">
        <v>24</v>
      </c>
      <c r="D41" t="s">
        <v>974</v>
      </c>
      <c r="E41" t="s">
        <v>44</v>
      </c>
      <c r="F41" t="s">
        <v>81</v>
      </c>
      <c r="G41" t="s">
        <v>88</v>
      </c>
      <c r="H41" t="s">
        <v>88</v>
      </c>
      <c r="I41">
        <v>2</v>
      </c>
    </row>
    <row r="42" spans="1:9" x14ac:dyDescent="0.45">
      <c r="A42" t="s">
        <v>11</v>
      </c>
      <c r="B42" t="s">
        <v>12</v>
      </c>
      <c r="C42">
        <v>1</v>
      </c>
      <c r="D42" t="s">
        <v>19</v>
      </c>
      <c r="E42" t="s">
        <v>20</v>
      </c>
      <c r="F42" t="s">
        <v>1795</v>
      </c>
      <c r="G42" t="s">
        <v>1796</v>
      </c>
      <c r="H42" t="s">
        <v>1797</v>
      </c>
      <c r="I42">
        <v>21</v>
      </c>
    </row>
    <row r="43" spans="1:9" x14ac:dyDescent="0.45">
      <c r="A43" t="s">
        <v>11</v>
      </c>
      <c r="B43" t="s">
        <v>18</v>
      </c>
      <c r="C43">
        <v>55</v>
      </c>
      <c r="D43" t="s">
        <v>87</v>
      </c>
      <c r="E43" t="s">
        <v>49</v>
      </c>
      <c r="F43" t="s">
        <v>1798</v>
      </c>
      <c r="G43" t="s">
        <v>1799</v>
      </c>
      <c r="H43" t="s">
        <v>1800</v>
      </c>
      <c r="I43">
        <v>18</v>
      </c>
    </row>
    <row r="44" spans="1:9" x14ac:dyDescent="0.45">
      <c r="A44" t="s">
        <v>11</v>
      </c>
      <c r="B44" t="s">
        <v>23</v>
      </c>
      <c r="C44">
        <v>11</v>
      </c>
      <c r="D44" t="s">
        <v>955</v>
      </c>
      <c r="E44" t="s">
        <v>20</v>
      </c>
      <c r="F44" t="s">
        <v>1801</v>
      </c>
      <c r="G44" t="s">
        <v>1802</v>
      </c>
      <c r="H44" t="s">
        <v>1803</v>
      </c>
      <c r="I44">
        <v>22</v>
      </c>
    </row>
    <row r="45" spans="1:9" x14ac:dyDescent="0.45">
      <c r="A45" t="s">
        <v>11</v>
      </c>
      <c r="B45" t="s">
        <v>28</v>
      </c>
      <c r="C45">
        <v>4</v>
      </c>
      <c r="D45" t="s">
        <v>13</v>
      </c>
      <c r="E45" t="s">
        <v>14</v>
      </c>
      <c r="F45" t="s">
        <v>1804</v>
      </c>
      <c r="G45" t="s">
        <v>1805</v>
      </c>
      <c r="H45" t="s">
        <v>420</v>
      </c>
      <c r="I45">
        <v>19</v>
      </c>
    </row>
    <row r="46" spans="1:9" x14ac:dyDescent="0.45">
      <c r="A46" t="s">
        <v>11</v>
      </c>
      <c r="B46" t="s">
        <v>32</v>
      </c>
      <c r="C46">
        <v>16</v>
      </c>
      <c r="D46" t="s">
        <v>48</v>
      </c>
      <c r="E46" t="s">
        <v>49</v>
      </c>
      <c r="F46" t="s">
        <v>1806</v>
      </c>
      <c r="G46" t="s">
        <v>1807</v>
      </c>
      <c r="H46" t="s">
        <v>1808</v>
      </c>
      <c r="I46">
        <v>20</v>
      </c>
    </row>
    <row r="47" spans="1:9" x14ac:dyDescent="0.45">
      <c r="A47" t="s">
        <v>11</v>
      </c>
      <c r="B47" t="s">
        <v>37</v>
      </c>
      <c r="C47">
        <v>81</v>
      </c>
      <c r="D47" t="s">
        <v>53</v>
      </c>
      <c r="E47" t="s">
        <v>14</v>
      </c>
      <c r="F47" t="s">
        <v>1809</v>
      </c>
      <c r="G47" t="s">
        <v>1810</v>
      </c>
      <c r="H47" t="s">
        <v>1811</v>
      </c>
      <c r="I47">
        <v>18</v>
      </c>
    </row>
    <row r="48" spans="1:9" x14ac:dyDescent="0.45">
      <c r="A48" t="s">
        <v>11</v>
      </c>
      <c r="B48" t="s">
        <v>42</v>
      </c>
      <c r="C48">
        <v>63</v>
      </c>
      <c r="D48" t="s">
        <v>24</v>
      </c>
      <c r="E48" t="s">
        <v>25</v>
      </c>
      <c r="F48" t="s">
        <v>1812</v>
      </c>
      <c r="G48" t="s">
        <v>1813</v>
      </c>
      <c r="H48" t="s">
        <v>1814</v>
      </c>
      <c r="I48">
        <v>23</v>
      </c>
    </row>
    <row r="49" spans="1:9" x14ac:dyDescent="0.45">
      <c r="A49" t="s">
        <v>11</v>
      </c>
      <c r="B49" t="s">
        <v>47</v>
      </c>
      <c r="C49">
        <v>22</v>
      </c>
      <c r="D49" t="s">
        <v>66</v>
      </c>
      <c r="E49" t="s">
        <v>979</v>
      </c>
      <c r="F49" t="s">
        <v>1815</v>
      </c>
      <c r="G49" t="s">
        <v>1816</v>
      </c>
      <c r="H49" t="s">
        <v>1817</v>
      </c>
      <c r="I49">
        <v>18</v>
      </c>
    </row>
    <row r="50" spans="1:9" x14ac:dyDescent="0.45">
      <c r="A50" t="s">
        <v>11</v>
      </c>
      <c r="B50" t="s">
        <v>52</v>
      </c>
      <c r="C50">
        <v>18</v>
      </c>
      <c r="D50" t="s">
        <v>38</v>
      </c>
      <c r="E50" t="s">
        <v>39</v>
      </c>
      <c r="F50" t="s">
        <v>1818</v>
      </c>
      <c r="G50" t="s">
        <v>1819</v>
      </c>
      <c r="H50" t="s">
        <v>1820</v>
      </c>
      <c r="I50">
        <v>23</v>
      </c>
    </row>
    <row r="51" spans="1:9" x14ac:dyDescent="0.45">
      <c r="A51" t="s">
        <v>11</v>
      </c>
      <c r="B51" t="s">
        <v>56</v>
      </c>
      <c r="C51">
        <v>14</v>
      </c>
      <c r="D51" t="s">
        <v>85</v>
      </c>
      <c r="E51" t="s">
        <v>39</v>
      </c>
      <c r="F51" t="s">
        <v>1821</v>
      </c>
      <c r="G51" t="s">
        <v>1198</v>
      </c>
      <c r="H51" t="s">
        <v>1822</v>
      </c>
      <c r="I51">
        <v>21</v>
      </c>
    </row>
    <row r="52" spans="1:9" x14ac:dyDescent="0.45">
      <c r="A52" t="s">
        <v>11</v>
      </c>
      <c r="B52" t="s">
        <v>60</v>
      </c>
      <c r="C52">
        <v>44</v>
      </c>
      <c r="D52" t="s">
        <v>57</v>
      </c>
      <c r="E52" t="s">
        <v>25</v>
      </c>
      <c r="F52" t="s">
        <v>1823</v>
      </c>
      <c r="G52" t="s">
        <v>1824</v>
      </c>
      <c r="H52" t="s">
        <v>88</v>
      </c>
      <c r="I52">
        <v>15</v>
      </c>
    </row>
    <row r="53" spans="1:9" x14ac:dyDescent="0.45">
      <c r="A53" t="s">
        <v>11</v>
      </c>
      <c r="B53" t="s">
        <v>65</v>
      </c>
      <c r="C53">
        <v>23</v>
      </c>
      <c r="D53" t="s">
        <v>33</v>
      </c>
      <c r="E53" t="s">
        <v>34</v>
      </c>
      <c r="F53" t="s">
        <v>1825</v>
      </c>
      <c r="G53" t="s">
        <v>1826</v>
      </c>
      <c r="H53" t="s">
        <v>88</v>
      </c>
      <c r="I53">
        <v>15</v>
      </c>
    </row>
    <row r="54" spans="1:9" x14ac:dyDescent="0.45">
      <c r="A54" t="s">
        <v>11</v>
      </c>
      <c r="B54" t="s">
        <v>70</v>
      </c>
      <c r="C54">
        <v>77</v>
      </c>
      <c r="D54" t="s">
        <v>986</v>
      </c>
      <c r="E54" t="s">
        <v>44</v>
      </c>
      <c r="F54" t="s">
        <v>1827</v>
      </c>
      <c r="G54" t="s">
        <v>1828</v>
      </c>
      <c r="H54" t="s">
        <v>88</v>
      </c>
      <c r="I54">
        <v>15</v>
      </c>
    </row>
    <row r="55" spans="1:9" x14ac:dyDescent="0.45">
      <c r="A55" t="s">
        <v>11</v>
      </c>
      <c r="B55" t="s">
        <v>75</v>
      </c>
      <c r="C55">
        <v>20</v>
      </c>
      <c r="D55" t="s">
        <v>976</v>
      </c>
      <c r="E55" t="s">
        <v>72</v>
      </c>
      <c r="F55" t="s">
        <v>1829</v>
      </c>
      <c r="G55" t="s">
        <v>1830</v>
      </c>
      <c r="H55" t="s">
        <v>88</v>
      </c>
      <c r="I55">
        <v>13</v>
      </c>
    </row>
    <row r="56" spans="1:9" x14ac:dyDescent="0.45">
      <c r="A56" t="s">
        <v>11</v>
      </c>
      <c r="B56" t="s">
        <v>120</v>
      </c>
      <c r="C56">
        <v>31</v>
      </c>
      <c r="D56" t="s">
        <v>71</v>
      </c>
      <c r="E56" t="s">
        <v>62</v>
      </c>
      <c r="F56" t="s">
        <v>1831</v>
      </c>
      <c r="G56" t="s">
        <v>1832</v>
      </c>
      <c r="H56" t="s">
        <v>88</v>
      </c>
      <c r="I56">
        <v>21</v>
      </c>
    </row>
    <row r="57" spans="1:9" x14ac:dyDescent="0.45">
      <c r="A57" t="s">
        <v>11</v>
      </c>
      <c r="B57" t="s">
        <v>122</v>
      </c>
      <c r="C57">
        <v>27</v>
      </c>
      <c r="D57" t="s">
        <v>43</v>
      </c>
      <c r="E57" t="s">
        <v>72</v>
      </c>
      <c r="F57" t="s">
        <v>1833</v>
      </c>
      <c r="G57" t="s">
        <v>88</v>
      </c>
      <c r="H57" t="s">
        <v>88</v>
      </c>
      <c r="I57">
        <v>8</v>
      </c>
    </row>
    <row r="58" spans="1:9" x14ac:dyDescent="0.45">
      <c r="A58" t="s">
        <v>11</v>
      </c>
      <c r="B58" t="s">
        <v>163</v>
      </c>
      <c r="C58">
        <v>10</v>
      </c>
      <c r="D58" t="s">
        <v>61</v>
      </c>
      <c r="E58" t="s">
        <v>62</v>
      </c>
      <c r="F58" t="s">
        <v>1834</v>
      </c>
      <c r="G58" t="s">
        <v>88</v>
      </c>
      <c r="H58" t="s">
        <v>88</v>
      </c>
      <c r="I58">
        <v>11</v>
      </c>
    </row>
    <row r="59" spans="1:9" x14ac:dyDescent="0.45">
      <c r="A59" t="s">
        <v>11</v>
      </c>
      <c r="B59" t="s">
        <v>166</v>
      </c>
      <c r="C59">
        <v>3</v>
      </c>
      <c r="D59" t="s">
        <v>978</v>
      </c>
      <c r="E59" t="s">
        <v>979</v>
      </c>
      <c r="F59" t="s">
        <v>1835</v>
      </c>
      <c r="G59" t="s">
        <v>88</v>
      </c>
      <c r="H59" t="s">
        <v>88</v>
      </c>
      <c r="I59">
        <v>6</v>
      </c>
    </row>
    <row r="60" spans="1:9" x14ac:dyDescent="0.45">
      <c r="A60" t="s">
        <v>11</v>
      </c>
      <c r="B60" t="s">
        <v>169</v>
      </c>
      <c r="C60">
        <v>24</v>
      </c>
      <c r="D60" t="s">
        <v>974</v>
      </c>
      <c r="E60" t="s">
        <v>44</v>
      </c>
      <c r="F60" t="s">
        <v>1836</v>
      </c>
      <c r="G60" t="s">
        <v>88</v>
      </c>
      <c r="H60" t="s">
        <v>88</v>
      </c>
      <c r="I60">
        <v>9</v>
      </c>
    </row>
    <row r="61" spans="1:9" x14ac:dyDescent="0.45">
      <c r="A61" t="s">
        <v>130</v>
      </c>
      <c r="B61" t="s">
        <v>12</v>
      </c>
      <c r="C61">
        <v>1</v>
      </c>
      <c r="D61" t="s">
        <v>19</v>
      </c>
      <c r="E61" t="s">
        <v>20</v>
      </c>
      <c r="F61" t="s">
        <v>1837</v>
      </c>
      <c r="G61" t="s">
        <v>1838</v>
      </c>
      <c r="H61" t="s">
        <v>1839</v>
      </c>
      <c r="I61">
        <v>12</v>
      </c>
    </row>
    <row r="62" spans="1:9" x14ac:dyDescent="0.45">
      <c r="A62" t="s">
        <v>130</v>
      </c>
      <c r="B62" t="s">
        <v>18</v>
      </c>
      <c r="C62">
        <v>11</v>
      </c>
      <c r="D62" t="s">
        <v>955</v>
      </c>
      <c r="E62" t="s">
        <v>20</v>
      </c>
      <c r="F62" t="s">
        <v>1840</v>
      </c>
      <c r="G62" t="s">
        <v>1841</v>
      </c>
      <c r="H62" t="s">
        <v>1842</v>
      </c>
      <c r="I62">
        <v>12</v>
      </c>
    </row>
    <row r="63" spans="1:9" x14ac:dyDescent="0.45">
      <c r="A63" t="s">
        <v>130</v>
      </c>
      <c r="B63" t="s">
        <v>23</v>
      </c>
      <c r="C63">
        <v>4</v>
      </c>
      <c r="D63" t="s">
        <v>13</v>
      </c>
      <c r="E63" t="s">
        <v>14</v>
      </c>
      <c r="F63" t="s">
        <v>1843</v>
      </c>
      <c r="G63" t="s">
        <v>1844</v>
      </c>
      <c r="H63" t="s">
        <v>1845</v>
      </c>
      <c r="I63">
        <v>13</v>
      </c>
    </row>
    <row r="64" spans="1:9" x14ac:dyDescent="0.45">
      <c r="A64" t="s">
        <v>130</v>
      </c>
      <c r="B64" t="s">
        <v>28</v>
      </c>
      <c r="C64">
        <v>55</v>
      </c>
      <c r="D64" t="s">
        <v>87</v>
      </c>
      <c r="E64" t="s">
        <v>49</v>
      </c>
      <c r="F64" t="s">
        <v>1846</v>
      </c>
      <c r="G64" t="s">
        <v>1847</v>
      </c>
      <c r="H64" t="s">
        <v>1848</v>
      </c>
      <c r="I64">
        <v>12</v>
      </c>
    </row>
    <row r="65" spans="1:9" x14ac:dyDescent="0.45">
      <c r="A65" t="s">
        <v>130</v>
      </c>
      <c r="B65" t="s">
        <v>32</v>
      </c>
      <c r="C65">
        <v>14</v>
      </c>
      <c r="D65" t="s">
        <v>85</v>
      </c>
      <c r="E65" t="s">
        <v>39</v>
      </c>
      <c r="F65" t="s">
        <v>1849</v>
      </c>
      <c r="G65" t="s">
        <v>1850</v>
      </c>
      <c r="H65" t="s">
        <v>1851</v>
      </c>
      <c r="I65">
        <v>12</v>
      </c>
    </row>
    <row r="66" spans="1:9" x14ac:dyDescent="0.45">
      <c r="A66" t="s">
        <v>130</v>
      </c>
      <c r="B66" t="s">
        <v>37</v>
      </c>
      <c r="C66">
        <v>81</v>
      </c>
      <c r="D66" t="s">
        <v>53</v>
      </c>
      <c r="E66" t="s">
        <v>14</v>
      </c>
      <c r="F66" t="s">
        <v>1852</v>
      </c>
      <c r="G66" t="s">
        <v>1853</v>
      </c>
      <c r="H66" t="s">
        <v>1854</v>
      </c>
      <c r="I66">
        <v>12</v>
      </c>
    </row>
    <row r="67" spans="1:9" x14ac:dyDescent="0.45">
      <c r="A67" t="s">
        <v>130</v>
      </c>
      <c r="B67" t="s">
        <v>42</v>
      </c>
      <c r="C67">
        <v>44</v>
      </c>
      <c r="D67" t="s">
        <v>57</v>
      </c>
      <c r="E67" t="s">
        <v>25</v>
      </c>
      <c r="F67" t="s">
        <v>1855</v>
      </c>
      <c r="G67" t="s">
        <v>1856</v>
      </c>
      <c r="H67" t="s">
        <v>1857</v>
      </c>
      <c r="I67">
        <v>15</v>
      </c>
    </row>
    <row r="68" spans="1:9" x14ac:dyDescent="0.45">
      <c r="A68" t="s">
        <v>130</v>
      </c>
      <c r="B68" t="s">
        <v>47</v>
      </c>
      <c r="C68">
        <v>16</v>
      </c>
      <c r="D68" t="s">
        <v>48</v>
      </c>
      <c r="E68" t="s">
        <v>49</v>
      </c>
      <c r="F68" t="s">
        <v>1858</v>
      </c>
      <c r="G68" t="s">
        <v>1859</v>
      </c>
      <c r="H68" t="s">
        <v>1860</v>
      </c>
      <c r="I68">
        <v>12</v>
      </c>
    </row>
    <row r="69" spans="1:9" x14ac:dyDescent="0.45">
      <c r="A69" t="s">
        <v>130</v>
      </c>
      <c r="B69" t="s">
        <v>52</v>
      </c>
      <c r="C69">
        <v>63</v>
      </c>
      <c r="D69" t="s">
        <v>24</v>
      </c>
      <c r="E69" t="s">
        <v>25</v>
      </c>
      <c r="F69" t="s">
        <v>1861</v>
      </c>
      <c r="G69" t="s">
        <v>1862</v>
      </c>
      <c r="H69" t="s">
        <v>1863</v>
      </c>
      <c r="I69">
        <v>15</v>
      </c>
    </row>
    <row r="70" spans="1:9" x14ac:dyDescent="0.45">
      <c r="A70" t="s">
        <v>130</v>
      </c>
      <c r="B70" t="s">
        <v>56</v>
      </c>
      <c r="C70">
        <v>22</v>
      </c>
      <c r="D70" t="s">
        <v>66</v>
      </c>
      <c r="E70" t="s">
        <v>979</v>
      </c>
      <c r="F70" t="s">
        <v>1864</v>
      </c>
      <c r="G70" t="s">
        <v>1865</v>
      </c>
      <c r="H70" t="s">
        <v>1866</v>
      </c>
      <c r="I70">
        <v>18</v>
      </c>
    </row>
    <row r="71" spans="1:9" x14ac:dyDescent="0.45">
      <c r="A71" t="s">
        <v>130</v>
      </c>
      <c r="B71" t="s">
        <v>60</v>
      </c>
      <c r="C71">
        <v>3</v>
      </c>
      <c r="D71" t="s">
        <v>978</v>
      </c>
      <c r="E71" t="s">
        <v>979</v>
      </c>
      <c r="F71" t="s">
        <v>1867</v>
      </c>
      <c r="G71" t="s">
        <v>1868</v>
      </c>
      <c r="H71" t="s">
        <v>88</v>
      </c>
      <c r="I71">
        <v>12</v>
      </c>
    </row>
    <row r="72" spans="1:9" x14ac:dyDescent="0.45">
      <c r="A72" t="s">
        <v>130</v>
      </c>
      <c r="B72" t="s">
        <v>65</v>
      </c>
      <c r="C72">
        <v>27</v>
      </c>
      <c r="D72" t="s">
        <v>43</v>
      </c>
      <c r="E72" t="s">
        <v>72</v>
      </c>
      <c r="F72" t="s">
        <v>1869</v>
      </c>
      <c r="G72" t="s">
        <v>1870</v>
      </c>
      <c r="H72" t="s">
        <v>88</v>
      </c>
      <c r="I72">
        <v>12</v>
      </c>
    </row>
    <row r="73" spans="1:9" x14ac:dyDescent="0.45">
      <c r="A73" t="s">
        <v>130</v>
      </c>
      <c r="B73" t="s">
        <v>70</v>
      </c>
      <c r="C73">
        <v>77</v>
      </c>
      <c r="D73" t="s">
        <v>986</v>
      </c>
      <c r="E73" t="s">
        <v>44</v>
      </c>
      <c r="F73" t="s">
        <v>1871</v>
      </c>
      <c r="G73" t="s">
        <v>1872</v>
      </c>
      <c r="H73" t="s">
        <v>88</v>
      </c>
      <c r="I73">
        <v>12</v>
      </c>
    </row>
    <row r="74" spans="1:9" x14ac:dyDescent="0.45">
      <c r="A74" t="s">
        <v>130</v>
      </c>
      <c r="B74" t="s">
        <v>75</v>
      </c>
      <c r="C74">
        <v>23</v>
      </c>
      <c r="D74" t="s">
        <v>33</v>
      </c>
      <c r="E74" t="s">
        <v>34</v>
      </c>
      <c r="F74" t="s">
        <v>1873</v>
      </c>
      <c r="G74" t="s">
        <v>1874</v>
      </c>
      <c r="H74" t="s">
        <v>88</v>
      </c>
      <c r="I74">
        <v>9</v>
      </c>
    </row>
    <row r="75" spans="1:9" x14ac:dyDescent="0.45">
      <c r="A75" t="s">
        <v>130</v>
      </c>
      <c r="B75" t="s">
        <v>120</v>
      </c>
      <c r="C75">
        <v>31</v>
      </c>
      <c r="D75" t="s">
        <v>71</v>
      </c>
      <c r="E75" t="s">
        <v>62</v>
      </c>
      <c r="F75" t="s">
        <v>1875</v>
      </c>
      <c r="G75" t="s">
        <v>1876</v>
      </c>
      <c r="H75" t="s">
        <v>88</v>
      </c>
      <c r="I75">
        <v>12</v>
      </c>
    </row>
    <row r="76" spans="1:9" x14ac:dyDescent="0.45">
      <c r="A76" t="s">
        <v>130</v>
      </c>
      <c r="B76" t="s">
        <v>122</v>
      </c>
      <c r="C76">
        <v>18</v>
      </c>
      <c r="D76" t="s">
        <v>38</v>
      </c>
      <c r="E76" t="s">
        <v>39</v>
      </c>
      <c r="F76" t="s">
        <v>1877</v>
      </c>
      <c r="G76" t="s">
        <v>88</v>
      </c>
      <c r="H76" t="s">
        <v>88</v>
      </c>
      <c r="I76">
        <v>6</v>
      </c>
    </row>
    <row r="77" spans="1:9" x14ac:dyDescent="0.45">
      <c r="A77" t="s">
        <v>130</v>
      </c>
      <c r="B77" t="s">
        <v>163</v>
      </c>
      <c r="C77">
        <v>10</v>
      </c>
      <c r="D77" t="s">
        <v>61</v>
      </c>
      <c r="E77" t="s">
        <v>62</v>
      </c>
      <c r="F77" t="s">
        <v>1878</v>
      </c>
      <c r="G77" t="s">
        <v>88</v>
      </c>
      <c r="H77" t="s">
        <v>88</v>
      </c>
      <c r="I77">
        <v>6</v>
      </c>
    </row>
    <row r="78" spans="1:9" x14ac:dyDescent="0.45">
      <c r="A78" t="s">
        <v>130</v>
      </c>
      <c r="B78" t="s">
        <v>166</v>
      </c>
      <c r="C78">
        <v>20</v>
      </c>
      <c r="D78" t="s">
        <v>976</v>
      </c>
      <c r="E78" t="s">
        <v>72</v>
      </c>
      <c r="F78" t="s">
        <v>1879</v>
      </c>
      <c r="G78" t="s">
        <v>88</v>
      </c>
      <c r="H78" t="s">
        <v>88</v>
      </c>
      <c r="I78">
        <v>9</v>
      </c>
    </row>
    <row r="79" spans="1:9" x14ac:dyDescent="0.45">
      <c r="A79" t="s">
        <v>130</v>
      </c>
      <c r="B79" t="s">
        <v>169</v>
      </c>
      <c r="C79">
        <v>2</v>
      </c>
      <c r="D79" t="s">
        <v>988</v>
      </c>
      <c r="E79" t="s">
        <v>34</v>
      </c>
      <c r="F79" t="s">
        <v>1880</v>
      </c>
      <c r="G79" t="s">
        <v>88</v>
      </c>
      <c r="H79" t="s">
        <v>88</v>
      </c>
      <c r="I79">
        <v>6</v>
      </c>
    </row>
    <row r="80" spans="1:9" x14ac:dyDescent="0.45">
      <c r="A80" t="s">
        <v>130</v>
      </c>
      <c r="B80" t="s">
        <v>172</v>
      </c>
      <c r="C80">
        <v>24</v>
      </c>
      <c r="D80" t="s">
        <v>974</v>
      </c>
      <c r="E80" t="s">
        <v>44</v>
      </c>
      <c r="F80" t="s">
        <v>1731</v>
      </c>
      <c r="G80" t="s">
        <v>88</v>
      </c>
      <c r="H80" t="s">
        <v>88</v>
      </c>
      <c r="I80">
        <v>6</v>
      </c>
    </row>
    <row r="81" spans="1:9" x14ac:dyDescent="0.45">
      <c r="A81" t="s">
        <v>91</v>
      </c>
      <c r="B81" t="s">
        <v>12</v>
      </c>
      <c r="C81">
        <v>1</v>
      </c>
      <c r="D81" t="s">
        <v>19</v>
      </c>
      <c r="E81" t="s">
        <v>20</v>
      </c>
      <c r="F81" t="s">
        <v>1881</v>
      </c>
      <c r="G81" t="s">
        <v>1882</v>
      </c>
      <c r="H81" t="s">
        <v>1883</v>
      </c>
      <c r="I81">
        <v>18</v>
      </c>
    </row>
    <row r="82" spans="1:9" x14ac:dyDescent="0.45">
      <c r="A82" t="s">
        <v>91</v>
      </c>
      <c r="B82" t="s">
        <v>18</v>
      </c>
      <c r="C82">
        <v>11</v>
      </c>
      <c r="D82" t="s">
        <v>955</v>
      </c>
      <c r="E82" t="s">
        <v>20</v>
      </c>
      <c r="F82" t="s">
        <v>1884</v>
      </c>
      <c r="G82" t="s">
        <v>1885</v>
      </c>
      <c r="H82" t="s">
        <v>1886</v>
      </c>
      <c r="I82">
        <v>19</v>
      </c>
    </row>
    <row r="83" spans="1:9" x14ac:dyDescent="0.45">
      <c r="A83" t="s">
        <v>91</v>
      </c>
      <c r="B83" t="s">
        <v>23</v>
      </c>
      <c r="C83">
        <v>14</v>
      </c>
      <c r="D83" t="s">
        <v>85</v>
      </c>
      <c r="E83" t="s">
        <v>39</v>
      </c>
      <c r="F83" t="s">
        <v>1887</v>
      </c>
      <c r="G83" t="s">
        <v>1888</v>
      </c>
      <c r="H83" t="s">
        <v>1889</v>
      </c>
      <c r="I83">
        <v>15</v>
      </c>
    </row>
    <row r="84" spans="1:9" x14ac:dyDescent="0.45">
      <c r="A84" t="s">
        <v>91</v>
      </c>
      <c r="B84" t="s">
        <v>28</v>
      </c>
      <c r="C84">
        <v>4</v>
      </c>
      <c r="D84" t="s">
        <v>13</v>
      </c>
      <c r="E84" t="s">
        <v>14</v>
      </c>
      <c r="F84" t="s">
        <v>1890</v>
      </c>
      <c r="G84" t="s">
        <v>1891</v>
      </c>
      <c r="H84" t="s">
        <v>1892</v>
      </c>
      <c r="I84">
        <v>15</v>
      </c>
    </row>
    <row r="85" spans="1:9" x14ac:dyDescent="0.45">
      <c r="A85" t="s">
        <v>91</v>
      </c>
      <c r="B85" t="s">
        <v>32</v>
      </c>
      <c r="C85">
        <v>81</v>
      </c>
      <c r="D85" t="s">
        <v>53</v>
      </c>
      <c r="E85" t="s">
        <v>14</v>
      </c>
      <c r="F85" t="s">
        <v>1893</v>
      </c>
      <c r="G85" t="s">
        <v>1894</v>
      </c>
      <c r="H85" t="s">
        <v>1895</v>
      </c>
      <c r="I85">
        <v>16</v>
      </c>
    </row>
    <row r="86" spans="1:9" x14ac:dyDescent="0.45">
      <c r="A86" t="s">
        <v>91</v>
      </c>
      <c r="B86" t="s">
        <v>37</v>
      </c>
      <c r="C86">
        <v>16</v>
      </c>
      <c r="D86" t="s">
        <v>48</v>
      </c>
      <c r="E86" t="s">
        <v>49</v>
      </c>
      <c r="F86" t="s">
        <v>1896</v>
      </c>
      <c r="G86" t="s">
        <v>1897</v>
      </c>
      <c r="H86" t="s">
        <v>1898</v>
      </c>
      <c r="I86">
        <v>20</v>
      </c>
    </row>
    <row r="87" spans="1:9" x14ac:dyDescent="0.45">
      <c r="A87" t="s">
        <v>91</v>
      </c>
      <c r="B87" t="s">
        <v>42</v>
      </c>
      <c r="C87">
        <v>55</v>
      </c>
      <c r="D87" t="s">
        <v>87</v>
      </c>
      <c r="E87" t="s">
        <v>49</v>
      </c>
      <c r="F87" t="s">
        <v>1899</v>
      </c>
      <c r="G87" t="s">
        <v>1900</v>
      </c>
      <c r="H87" t="s">
        <v>1901</v>
      </c>
      <c r="I87">
        <v>17</v>
      </c>
    </row>
    <row r="88" spans="1:9" x14ac:dyDescent="0.45">
      <c r="A88" t="s">
        <v>91</v>
      </c>
      <c r="B88" t="s">
        <v>47</v>
      </c>
      <c r="C88">
        <v>63</v>
      </c>
      <c r="D88" t="s">
        <v>24</v>
      </c>
      <c r="E88" t="s">
        <v>25</v>
      </c>
      <c r="F88" t="s">
        <v>1902</v>
      </c>
      <c r="G88" t="s">
        <v>1903</v>
      </c>
      <c r="H88" t="s">
        <v>1904</v>
      </c>
      <c r="I88">
        <v>20</v>
      </c>
    </row>
    <row r="89" spans="1:9" x14ac:dyDescent="0.45">
      <c r="A89" t="s">
        <v>91</v>
      </c>
      <c r="B89" t="s">
        <v>52</v>
      </c>
      <c r="C89">
        <v>27</v>
      </c>
      <c r="D89" t="s">
        <v>43</v>
      </c>
      <c r="E89" t="s">
        <v>72</v>
      </c>
      <c r="F89" t="s">
        <v>1905</v>
      </c>
      <c r="G89" t="s">
        <v>1906</v>
      </c>
      <c r="H89" t="s">
        <v>1907</v>
      </c>
      <c r="I89">
        <v>21</v>
      </c>
    </row>
    <row r="90" spans="1:9" x14ac:dyDescent="0.45">
      <c r="A90" t="s">
        <v>91</v>
      </c>
      <c r="B90" t="s">
        <v>56</v>
      </c>
      <c r="C90">
        <v>77</v>
      </c>
      <c r="D90" t="s">
        <v>986</v>
      </c>
      <c r="E90" t="s">
        <v>44</v>
      </c>
      <c r="F90" t="s">
        <v>1908</v>
      </c>
      <c r="G90" t="s">
        <v>1909</v>
      </c>
      <c r="H90" t="s">
        <v>1910</v>
      </c>
      <c r="I90">
        <v>15</v>
      </c>
    </row>
    <row r="91" spans="1:9" x14ac:dyDescent="0.45">
      <c r="A91" t="s">
        <v>91</v>
      </c>
      <c r="B91" t="s">
        <v>60</v>
      </c>
      <c r="C91">
        <v>18</v>
      </c>
      <c r="D91" t="s">
        <v>38</v>
      </c>
      <c r="E91" t="s">
        <v>39</v>
      </c>
      <c r="F91" t="s">
        <v>1911</v>
      </c>
      <c r="G91" t="s">
        <v>1912</v>
      </c>
      <c r="H91" t="s">
        <v>88</v>
      </c>
      <c r="I91">
        <v>12</v>
      </c>
    </row>
    <row r="92" spans="1:9" x14ac:dyDescent="0.45">
      <c r="A92" t="s">
        <v>91</v>
      </c>
      <c r="B92" t="s">
        <v>65</v>
      </c>
      <c r="C92">
        <v>3</v>
      </c>
      <c r="D92" t="s">
        <v>978</v>
      </c>
      <c r="E92" t="s">
        <v>979</v>
      </c>
      <c r="F92" t="s">
        <v>1913</v>
      </c>
      <c r="G92" t="s">
        <v>1914</v>
      </c>
      <c r="H92" t="s">
        <v>88</v>
      </c>
      <c r="I92">
        <v>12</v>
      </c>
    </row>
    <row r="93" spans="1:9" x14ac:dyDescent="0.45">
      <c r="A93" t="s">
        <v>91</v>
      </c>
      <c r="B93" t="s">
        <v>70</v>
      </c>
      <c r="C93">
        <v>31</v>
      </c>
      <c r="D93" t="s">
        <v>71</v>
      </c>
      <c r="E93" t="s">
        <v>62</v>
      </c>
      <c r="F93" t="s">
        <v>1915</v>
      </c>
      <c r="G93" t="s">
        <v>1916</v>
      </c>
      <c r="H93" t="s">
        <v>88</v>
      </c>
      <c r="I93">
        <v>15</v>
      </c>
    </row>
    <row r="94" spans="1:9" x14ac:dyDescent="0.45">
      <c r="A94" t="s">
        <v>91</v>
      </c>
      <c r="B94" t="s">
        <v>75</v>
      </c>
      <c r="C94">
        <v>23</v>
      </c>
      <c r="D94" t="s">
        <v>33</v>
      </c>
      <c r="E94" t="s">
        <v>34</v>
      </c>
      <c r="F94" t="s">
        <v>1917</v>
      </c>
      <c r="G94" t="s">
        <v>1918</v>
      </c>
      <c r="H94" t="s">
        <v>88</v>
      </c>
      <c r="I94">
        <v>14</v>
      </c>
    </row>
    <row r="95" spans="1:9" x14ac:dyDescent="0.45">
      <c r="A95" t="s">
        <v>91</v>
      </c>
      <c r="B95" t="s">
        <v>120</v>
      </c>
      <c r="C95">
        <v>10</v>
      </c>
      <c r="D95" t="s">
        <v>61</v>
      </c>
      <c r="E95" t="s">
        <v>62</v>
      </c>
      <c r="F95" t="s">
        <v>1919</v>
      </c>
      <c r="G95" t="s">
        <v>1920</v>
      </c>
      <c r="H95" t="s">
        <v>88</v>
      </c>
      <c r="I95">
        <v>15</v>
      </c>
    </row>
    <row r="96" spans="1:9" x14ac:dyDescent="0.45">
      <c r="A96" t="s">
        <v>91</v>
      </c>
      <c r="B96" t="s">
        <v>122</v>
      </c>
      <c r="C96">
        <v>24</v>
      </c>
      <c r="D96" t="s">
        <v>974</v>
      </c>
      <c r="E96" t="s">
        <v>44</v>
      </c>
      <c r="F96" t="s">
        <v>1921</v>
      </c>
      <c r="G96" t="s">
        <v>88</v>
      </c>
      <c r="H96" t="s">
        <v>88</v>
      </c>
      <c r="I96">
        <v>8</v>
      </c>
    </row>
    <row r="97" spans="1:9" x14ac:dyDescent="0.45">
      <c r="A97" t="s">
        <v>91</v>
      </c>
      <c r="B97" t="s">
        <v>163</v>
      </c>
      <c r="C97">
        <v>20</v>
      </c>
      <c r="D97" t="s">
        <v>976</v>
      </c>
      <c r="E97" t="s">
        <v>72</v>
      </c>
      <c r="F97" t="s">
        <v>1922</v>
      </c>
      <c r="G97" t="s">
        <v>88</v>
      </c>
      <c r="H97" t="s">
        <v>88</v>
      </c>
      <c r="I97">
        <v>6</v>
      </c>
    </row>
    <row r="98" spans="1:9" x14ac:dyDescent="0.45">
      <c r="A98" t="s">
        <v>91</v>
      </c>
      <c r="B98" t="s">
        <v>166</v>
      </c>
      <c r="C98">
        <v>44</v>
      </c>
      <c r="D98" t="s">
        <v>57</v>
      </c>
      <c r="E98" t="s">
        <v>25</v>
      </c>
      <c r="F98" t="s">
        <v>1923</v>
      </c>
      <c r="G98" t="s">
        <v>88</v>
      </c>
      <c r="H98" t="s">
        <v>88</v>
      </c>
      <c r="I98">
        <v>6</v>
      </c>
    </row>
    <row r="99" spans="1:9" x14ac:dyDescent="0.45">
      <c r="A99" t="s">
        <v>91</v>
      </c>
      <c r="B99" t="s">
        <v>169</v>
      </c>
      <c r="C99">
        <v>22</v>
      </c>
      <c r="D99" t="s">
        <v>66</v>
      </c>
      <c r="E99" t="s">
        <v>979</v>
      </c>
      <c r="F99" t="s">
        <v>1924</v>
      </c>
      <c r="G99" t="s">
        <v>88</v>
      </c>
      <c r="H99" t="s">
        <v>88</v>
      </c>
      <c r="I99">
        <v>9</v>
      </c>
    </row>
    <row r="100" spans="1:9" x14ac:dyDescent="0.45">
      <c r="A100" t="s">
        <v>91</v>
      </c>
      <c r="B100" t="s">
        <v>172</v>
      </c>
      <c r="C100">
        <v>2</v>
      </c>
      <c r="D100" t="s">
        <v>988</v>
      </c>
      <c r="E100" t="s">
        <v>34</v>
      </c>
      <c r="F100" t="s">
        <v>1925</v>
      </c>
      <c r="G100" t="s">
        <v>88</v>
      </c>
      <c r="H100" t="s">
        <v>88</v>
      </c>
      <c r="I100">
        <v>7</v>
      </c>
    </row>
    <row r="101" spans="1:9" x14ac:dyDescent="0.45">
      <c r="A101" t="s">
        <v>246</v>
      </c>
      <c r="B101" t="s">
        <v>12</v>
      </c>
      <c r="C101">
        <v>1</v>
      </c>
      <c r="D101" t="s">
        <v>19</v>
      </c>
      <c r="E101" t="s">
        <v>20</v>
      </c>
      <c r="F101" t="s">
        <v>1926</v>
      </c>
      <c r="G101" t="s">
        <v>1927</v>
      </c>
      <c r="H101" t="s">
        <v>1928</v>
      </c>
      <c r="I101">
        <v>18</v>
      </c>
    </row>
    <row r="102" spans="1:9" x14ac:dyDescent="0.45">
      <c r="A102" t="s">
        <v>246</v>
      </c>
      <c r="B102" t="s">
        <v>18</v>
      </c>
      <c r="C102">
        <v>16</v>
      </c>
      <c r="D102" t="s">
        <v>48</v>
      </c>
      <c r="E102" t="s">
        <v>49</v>
      </c>
      <c r="F102" t="s">
        <v>1929</v>
      </c>
      <c r="G102" t="s">
        <v>1930</v>
      </c>
      <c r="H102" t="s">
        <v>1931</v>
      </c>
      <c r="I102">
        <v>21</v>
      </c>
    </row>
    <row r="103" spans="1:9" x14ac:dyDescent="0.45">
      <c r="A103" t="s">
        <v>246</v>
      </c>
      <c r="B103" t="s">
        <v>23</v>
      </c>
      <c r="C103">
        <v>55</v>
      </c>
      <c r="D103" t="s">
        <v>87</v>
      </c>
      <c r="E103" t="s">
        <v>49</v>
      </c>
      <c r="F103" t="s">
        <v>1932</v>
      </c>
      <c r="G103" t="s">
        <v>1933</v>
      </c>
      <c r="H103" t="s">
        <v>1934</v>
      </c>
      <c r="I103">
        <v>21</v>
      </c>
    </row>
    <row r="104" spans="1:9" x14ac:dyDescent="0.45">
      <c r="A104" t="s">
        <v>246</v>
      </c>
      <c r="B104" t="s">
        <v>28</v>
      </c>
      <c r="C104">
        <v>11</v>
      </c>
      <c r="D104" t="s">
        <v>955</v>
      </c>
      <c r="E104" t="s">
        <v>20</v>
      </c>
      <c r="F104" t="s">
        <v>1935</v>
      </c>
      <c r="G104" t="s">
        <v>1936</v>
      </c>
      <c r="H104" t="s">
        <v>1937</v>
      </c>
      <c r="I104">
        <v>18</v>
      </c>
    </row>
    <row r="105" spans="1:9" x14ac:dyDescent="0.45">
      <c r="A105" t="s">
        <v>246</v>
      </c>
      <c r="B105" t="s">
        <v>32</v>
      </c>
      <c r="C105">
        <v>4</v>
      </c>
      <c r="D105" t="s">
        <v>13</v>
      </c>
      <c r="E105" t="s">
        <v>14</v>
      </c>
      <c r="F105" t="s">
        <v>1938</v>
      </c>
      <c r="G105" t="s">
        <v>1939</v>
      </c>
      <c r="H105" t="s">
        <v>1940</v>
      </c>
      <c r="I105">
        <v>21</v>
      </c>
    </row>
    <row r="106" spans="1:9" x14ac:dyDescent="0.45">
      <c r="A106" t="s">
        <v>246</v>
      </c>
      <c r="B106" t="s">
        <v>37</v>
      </c>
      <c r="C106">
        <v>81</v>
      </c>
      <c r="D106" t="s">
        <v>53</v>
      </c>
      <c r="E106" t="s">
        <v>14</v>
      </c>
      <c r="F106" t="s">
        <v>1941</v>
      </c>
      <c r="G106" t="s">
        <v>1942</v>
      </c>
      <c r="H106" t="s">
        <v>1943</v>
      </c>
      <c r="I106">
        <v>19</v>
      </c>
    </row>
    <row r="107" spans="1:9" x14ac:dyDescent="0.45">
      <c r="A107" t="s">
        <v>246</v>
      </c>
      <c r="B107" t="s">
        <v>42</v>
      </c>
      <c r="C107">
        <v>63</v>
      </c>
      <c r="D107" t="s">
        <v>24</v>
      </c>
      <c r="E107" t="s">
        <v>25</v>
      </c>
      <c r="F107" t="s">
        <v>1944</v>
      </c>
      <c r="G107" t="s">
        <v>1945</v>
      </c>
      <c r="H107" t="s">
        <v>1946</v>
      </c>
      <c r="I107">
        <v>21</v>
      </c>
    </row>
    <row r="108" spans="1:9" x14ac:dyDescent="0.45">
      <c r="A108" t="s">
        <v>246</v>
      </c>
      <c r="B108" t="s">
        <v>47</v>
      </c>
      <c r="C108">
        <v>44</v>
      </c>
      <c r="D108" t="s">
        <v>57</v>
      </c>
      <c r="E108" t="s">
        <v>25</v>
      </c>
      <c r="F108" t="s">
        <v>1947</v>
      </c>
      <c r="G108" t="s">
        <v>1948</v>
      </c>
      <c r="H108" t="s">
        <v>1949</v>
      </c>
      <c r="I108">
        <v>21</v>
      </c>
    </row>
    <row r="109" spans="1:9" x14ac:dyDescent="0.45">
      <c r="A109" t="s">
        <v>246</v>
      </c>
      <c r="B109" t="s">
        <v>52</v>
      </c>
      <c r="C109">
        <v>27</v>
      </c>
      <c r="D109" t="s">
        <v>43</v>
      </c>
      <c r="E109" t="s">
        <v>72</v>
      </c>
      <c r="F109" t="s">
        <v>1950</v>
      </c>
      <c r="G109" t="s">
        <v>1951</v>
      </c>
      <c r="H109" t="s">
        <v>1952</v>
      </c>
      <c r="I109">
        <v>21</v>
      </c>
    </row>
    <row r="110" spans="1:9" x14ac:dyDescent="0.45">
      <c r="A110" t="s">
        <v>246</v>
      </c>
      <c r="B110" t="s">
        <v>56</v>
      </c>
      <c r="C110">
        <v>22</v>
      </c>
      <c r="D110" t="s">
        <v>66</v>
      </c>
      <c r="E110" t="s">
        <v>979</v>
      </c>
      <c r="F110" t="s">
        <v>1953</v>
      </c>
      <c r="G110" t="s">
        <v>1947</v>
      </c>
      <c r="H110" t="s">
        <v>1954</v>
      </c>
      <c r="I110">
        <v>21</v>
      </c>
    </row>
    <row r="111" spans="1:9" x14ac:dyDescent="0.45">
      <c r="A111" t="s">
        <v>246</v>
      </c>
      <c r="B111" t="s">
        <v>60</v>
      </c>
      <c r="C111">
        <v>18</v>
      </c>
      <c r="D111" t="s">
        <v>38</v>
      </c>
      <c r="E111" t="s">
        <v>39</v>
      </c>
      <c r="F111" t="s">
        <v>1955</v>
      </c>
      <c r="G111" t="s">
        <v>1956</v>
      </c>
      <c r="H111" t="s">
        <v>88</v>
      </c>
      <c r="I111">
        <v>15</v>
      </c>
    </row>
    <row r="112" spans="1:9" x14ac:dyDescent="0.45">
      <c r="A112" t="s">
        <v>246</v>
      </c>
      <c r="B112" t="s">
        <v>65</v>
      </c>
      <c r="C112">
        <v>10</v>
      </c>
      <c r="D112" t="s">
        <v>61</v>
      </c>
      <c r="E112" t="s">
        <v>62</v>
      </c>
      <c r="F112" t="s">
        <v>1957</v>
      </c>
      <c r="G112" t="s">
        <v>1953</v>
      </c>
      <c r="H112" t="s">
        <v>88</v>
      </c>
      <c r="I112">
        <v>15</v>
      </c>
    </row>
    <row r="113" spans="1:9" x14ac:dyDescent="0.45">
      <c r="A113" t="s">
        <v>246</v>
      </c>
      <c r="B113" t="s">
        <v>70</v>
      </c>
      <c r="C113">
        <v>31</v>
      </c>
      <c r="D113" t="s">
        <v>71</v>
      </c>
      <c r="E113" t="s">
        <v>62</v>
      </c>
      <c r="F113" t="s">
        <v>505</v>
      </c>
      <c r="G113" t="s">
        <v>1958</v>
      </c>
      <c r="H113" t="s">
        <v>88</v>
      </c>
      <c r="I113">
        <v>15</v>
      </c>
    </row>
    <row r="114" spans="1:9" x14ac:dyDescent="0.45">
      <c r="A114" t="s">
        <v>246</v>
      </c>
      <c r="B114" t="s">
        <v>75</v>
      </c>
      <c r="C114">
        <v>23</v>
      </c>
      <c r="D114" t="s">
        <v>33</v>
      </c>
      <c r="E114" t="s">
        <v>34</v>
      </c>
      <c r="F114" t="s">
        <v>1766</v>
      </c>
      <c r="G114" t="s">
        <v>1959</v>
      </c>
      <c r="H114" t="s">
        <v>88</v>
      </c>
      <c r="I114">
        <v>15</v>
      </c>
    </row>
    <row r="115" spans="1:9" x14ac:dyDescent="0.45">
      <c r="A115" t="s">
        <v>246</v>
      </c>
      <c r="B115" t="s">
        <v>120</v>
      </c>
      <c r="C115">
        <v>14</v>
      </c>
      <c r="D115" t="s">
        <v>85</v>
      </c>
      <c r="E115" t="s">
        <v>39</v>
      </c>
      <c r="F115" t="s">
        <v>1960</v>
      </c>
      <c r="G115" t="s">
        <v>1961</v>
      </c>
      <c r="H115" t="s">
        <v>88</v>
      </c>
      <c r="I115">
        <v>15</v>
      </c>
    </row>
    <row r="116" spans="1:9" x14ac:dyDescent="0.45">
      <c r="A116" t="s">
        <v>246</v>
      </c>
      <c r="B116" t="s">
        <v>122</v>
      </c>
      <c r="C116">
        <v>77</v>
      </c>
      <c r="D116" t="s">
        <v>986</v>
      </c>
      <c r="E116" t="s">
        <v>44</v>
      </c>
      <c r="F116" t="s">
        <v>1962</v>
      </c>
      <c r="G116" t="s">
        <v>88</v>
      </c>
      <c r="H116" t="s">
        <v>88</v>
      </c>
      <c r="I116">
        <v>6</v>
      </c>
    </row>
    <row r="117" spans="1:9" x14ac:dyDescent="0.45">
      <c r="A117" t="s">
        <v>246</v>
      </c>
      <c r="B117" t="s">
        <v>163</v>
      </c>
      <c r="C117">
        <v>2</v>
      </c>
      <c r="D117" t="s">
        <v>988</v>
      </c>
      <c r="E117" t="s">
        <v>34</v>
      </c>
      <c r="F117" t="s">
        <v>1963</v>
      </c>
      <c r="G117" t="s">
        <v>88</v>
      </c>
      <c r="H117" t="s">
        <v>88</v>
      </c>
      <c r="I117">
        <v>8</v>
      </c>
    </row>
    <row r="118" spans="1:9" x14ac:dyDescent="0.45">
      <c r="A118" t="s">
        <v>246</v>
      </c>
      <c r="B118" t="s">
        <v>166</v>
      </c>
      <c r="C118">
        <v>3</v>
      </c>
      <c r="D118" t="s">
        <v>978</v>
      </c>
      <c r="E118" t="s">
        <v>979</v>
      </c>
      <c r="F118" t="s">
        <v>1964</v>
      </c>
      <c r="G118" t="s">
        <v>88</v>
      </c>
      <c r="H118" t="s">
        <v>88</v>
      </c>
      <c r="I118">
        <v>9</v>
      </c>
    </row>
    <row r="119" spans="1:9" x14ac:dyDescent="0.45">
      <c r="A119" t="s">
        <v>246</v>
      </c>
      <c r="B119" t="s">
        <v>169</v>
      </c>
      <c r="C119">
        <v>20</v>
      </c>
      <c r="D119" t="s">
        <v>976</v>
      </c>
      <c r="E119" t="s">
        <v>72</v>
      </c>
      <c r="F119" t="s">
        <v>1965</v>
      </c>
      <c r="G119" t="s">
        <v>88</v>
      </c>
      <c r="H119" t="s">
        <v>88</v>
      </c>
      <c r="I119">
        <v>9</v>
      </c>
    </row>
    <row r="120" spans="1:9" x14ac:dyDescent="0.45">
      <c r="A120" t="s">
        <v>246</v>
      </c>
      <c r="B120" t="s">
        <v>172</v>
      </c>
      <c r="C120">
        <v>24</v>
      </c>
      <c r="D120" t="s">
        <v>974</v>
      </c>
      <c r="E120" t="s">
        <v>44</v>
      </c>
      <c r="F120" t="s">
        <v>1966</v>
      </c>
      <c r="G120" t="s">
        <v>88</v>
      </c>
      <c r="H120" t="s">
        <v>88</v>
      </c>
      <c r="I120">
        <v>9</v>
      </c>
    </row>
    <row r="121" spans="1:9" x14ac:dyDescent="0.45">
      <c r="A121" t="s">
        <v>1148</v>
      </c>
      <c r="B121" t="s">
        <v>12</v>
      </c>
      <c r="C121">
        <v>1</v>
      </c>
      <c r="D121" t="s">
        <v>19</v>
      </c>
      <c r="E121" t="s">
        <v>20</v>
      </c>
      <c r="F121" t="s">
        <v>1967</v>
      </c>
      <c r="G121" t="s">
        <v>1968</v>
      </c>
      <c r="H121" t="s">
        <v>1969</v>
      </c>
      <c r="I121">
        <v>18</v>
      </c>
    </row>
    <row r="122" spans="1:9" x14ac:dyDescent="0.45">
      <c r="A122" t="s">
        <v>1148</v>
      </c>
      <c r="B122" t="s">
        <v>18</v>
      </c>
      <c r="C122">
        <v>81</v>
      </c>
      <c r="D122" t="s">
        <v>53</v>
      </c>
      <c r="E122" t="s">
        <v>14</v>
      </c>
      <c r="F122" t="s">
        <v>1970</v>
      </c>
      <c r="G122" t="s">
        <v>1971</v>
      </c>
      <c r="H122" t="s">
        <v>1972</v>
      </c>
      <c r="I122">
        <v>15</v>
      </c>
    </row>
    <row r="123" spans="1:9" x14ac:dyDescent="0.45">
      <c r="A123" t="s">
        <v>1148</v>
      </c>
      <c r="B123" t="s">
        <v>23</v>
      </c>
      <c r="C123">
        <v>4</v>
      </c>
      <c r="D123" t="s">
        <v>13</v>
      </c>
      <c r="E123" t="s">
        <v>14</v>
      </c>
      <c r="F123" t="s">
        <v>1797</v>
      </c>
      <c r="G123" t="s">
        <v>1973</v>
      </c>
      <c r="H123" t="s">
        <v>1974</v>
      </c>
      <c r="I123">
        <v>19</v>
      </c>
    </row>
    <row r="124" spans="1:9" x14ac:dyDescent="0.45">
      <c r="A124" t="s">
        <v>1148</v>
      </c>
      <c r="B124" t="s">
        <v>28</v>
      </c>
      <c r="C124">
        <v>16</v>
      </c>
      <c r="D124" t="s">
        <v>48</v>
      </c>
      <c r="E124" t="s">
        <v>49</v>
      </c>
      <c r="F124" t="s">
        <v>1975</v>
      </c>
      <c r="G124" t="s">
        <v>1976</v>
      </c>
      <c r="H124" t="s">
        <v>1977</v>
      </c>
      <c r="I124">
        <v>21</v>
      </c>
    </row>
    <row r="125" spans="1:9" x14ac:dyDescent="0.45">
      <c r="A125" t="s">
        <v>1148</v>
      </c>
      <c r="B125" t="s">
        <v>32</v>
      </c>
      <c r="C125">
        <v>55</v>
      </c>
      <c r="D125" t="s">
        <v>87</v>
      </c>
      <c r="E125" t="s">
        <v>49</v>
      </c>
      <c r="F125" t="s">
        <v>1978</v>
      </c>
      <c r="G125" t="s">
        <v>1979</v>
      </c>
      <c r="H125" t="s">
        <v>1980</v>
      </c>
      <c r="I125">
        <v>20</v>
      </c>
    </row>
    <row r="126" spans="1:9" x14ac:dyDescent="0.45">
      <c r="A126" t="s">
        <v>1148</v>
      </c>
      <c r="B126" t="s">
        <v>37</v>
      </c>
      <c r="C126">
        <v>63</v>
      </c>
      <c r="D126" t="s">
        <v>24</v>
      </c>
      <c r="E126" t="s">
        <v>25</v>
      </c>
      <c r="F126" t="s">
        <v>1981</v>
      </c>
      <c r="G126" t="s">
        <v>1982</v>
      </c>
      <c r="H126" t="s">
        <v>1983</v>
      </c>
      <c r="I126">
        <v>18</v>
      </c>
    </row>
    <row r="127" spans="1:9" x14ac:dyDescent="0.45">
      <c r="A127" t="s">
        <v>1148</v>
      </c>
      <c r="B127" t="s">
        <v>42</v>
      </c>
      <c r="C127">
        <v>22</v>
      </c>
      <c r="D127" t="s">
        <v>66</v>
      </c>
      <c r="E127" t="s">
        <v>979</v>
      </c>
      <c r="F127" t="s">
        <v>655</v>
      </c>
      <c r="G127" t="s">
        <v>1984</v>
      </c>
      <c r="H127" t="s">
        <v>1985</v>
      </c>
      <c r="I127">
        <v>15</v>
      </c>
    </row>
    <row r="128" spans="1:9" x14ac:dyDescent="0.45">
      <c r="A128" t="s">
        <v>1148</v>
      </c>
      <c r="B128" t="s">
        <v>47</v>
      </c>
      <c r="C128">
        <v>44</v>
      </c>
      <c r="D128" t="s">
        <v>57</v>
      </c>
      <c r="E128" t="s">
        <v>25</v>
      </c>
      <c r="F128" t="s">
        <v>1986</v>
      </c>
      <c r="G128" t="s">
        <v>1987</v>
      </c>
      <c r="H128" t="s">
        <v>1988</v>
      </c>
      <c r="I128">
        <v>20</v>
      </c>
    </row>
    <row r="129" spans="1:9" x14ac:dyDescent="0.45">
      <c r="A129" t="s">
        <v>1148</v>
      </c>
      <c r="B129" t="s">
        <v>52</v>
      </c>
      <c r="C129">
        <v>3</v>
      </c>
      <c r="D129" t="s">
        <v>978</v>
      </c>
      <c r="E129" t="s">
        <v>979</v>
      </c>
      <c r="F129" t="s">
        <v>1989</v>
      </c>
      <c r="G129" t="s">
        <v>1990</v>
      </c>
      <c r="H129" t="s">
        <v>1991</v>
      </c>
      <c r="I129">
        <v>15</v>
      </c>
    </row>
    <row r="130" spans="1:9" x14ac:dyDescent="0.45">
      <c r="A130" t="s">
        <v>1148</v>
      </c>
      <c r="B130" t="s">
        <v>56</v>
      </c>
      <c r="C130">
        <v>27</v>
      </c>
      <c r="D130" t="s">
        <v>43</v>
      </c>
      <c r="E130" t="s">
        <v>72</v>
      </c>
      <c r="F130" t="s">
        <v>1992</v>
      </c>
      <c r="G130" t="s">
        <v>1202</v>
      </c>
      <c r="H130" t="s">
        <v>411</v>
      </c>
      <c r="I130">
        <v>21</v>
      </c>
    </row>
    <row r="131" spans="1:9" x14ac:dyDescent="0.45">
      <c r="A131" t="s">
        <v>1148</v>
      </c>
      <c r="B131" t="s">
        <v>60</v>
      </c>
      <c r="C131">
        <v>11</v>
      </c>
      <c r="D131" t="s">
        <v>955</v>
      </c>
      <c r="E131" t="s">
        <v>20</v>
      </c>
      <c r="F131" t="s">
        <v>1993</v>
      </c>
      <c r="G131" t="s">
        <v>1994</v>
      </c>
      <c r="H131" t="s">
        <v>88</v>
      </c>
      <c r="I131">
        <v>10</v>
      </c>
    </row>
    <row r="132" spans="1:9" x14ac:dyDescent="0.45">
      <c r="A132" t="s">
        <v>1148</v>
      </c>
      <c r="B132" t="s">
        <v>65</v>
      </c>
      <c r="C132">
        <v>31</v>
      </c>
      <c r="D132" t="s">
        <v>71</v>
      </c>
      <c r="E132" t="s">
        <v>62</v>
      </c>
      <c r="F132" t="s">
        <v>1995</v>
      </c>
      <c r="G132" t="s">
        <v>1996</v>
      </c>
      <c r="H132" t="s">
        <v>88</v>
      </c>
      <c r="I132">
        <v>15</v>
      </c>
    </row>
    <row r="133" spans="1:9" x14ac:dyDescent="0.45">
      <c r="A133" t="s">
        <v>1148</v>
      </c>
      <c r="B133" t="s">
        <v>70</v>
      </c>
      <c r="C133">
        <v>18</v>
      </c>
      <c r="D133" t="s">
        <v>38</v>
      </c>
      <c r="E133" t="s">
        <v>39</v>
      </c>
      <c r="F133" t="s">
        <v>1997</v>
      </c>
      <c r="G133" t="s">
        <v>1998</v>
      </c>
      <c r="H133" t="s">
        <v>88</v>
      </c>
      <c r="I133">
        <v>15</v>
      </c>
    </row>
    <row r="134" spans="1:9" x14ac:dyDescent="0.45">
      <c r="A134" t="s">
        <v>1148</v>
      </c>
      <c r="B134" t="s">
        <v>75</v>
      </c>
      <c r="C134">
        <v>23</v>
      </c>
      <c r="D134" t="s">
        <v>33</v>
      </c>
      <c r="E134" t="s">
        <v>34</v>
      </c>
      <c r="F134" t="s">
        <v>1999</v>
      </c>
      <c r="G134" t="s">
        <v>2000</v>
      </c>
      <c r="H134" t="s">
        <v>88</v>
      </c>
      <c r="I134">
        <v>12</v>
      </c>
    </row>
    <row r="135" spans="1:9" x14ac:dyDescent="0.45">
      <c r="A135" t="s">
        <v>1148</v>
      </c>
      <c r="B135" t="s">
        <v>120</v>
      </c>
      <c r="C135">
        <v>10</v>
      </c>
      <c r="D135" t="s">
        <v>61</v>
      </c>
      <c r="E135" t="s">
        <v>62</v>
      </c>
      <c r="F135" t="s">
        <v>1978</v>
      </c>
      <c r="G135" t="s">
        <v>2001</v>
      </c>
      <c r="H135" t="s">
        <v>88</v>
      </c>
      <c r="I135">
        <v>14</v>
      </c>
    </row>
    <row r="136" spans="1:9" x14ac:dyDescent="0.45">
      <c r="A136" t="s">
        <v>1148</v>
      </c>
      <c r="B136" t="s">
        <v>122</v>
      </c>
      <c r="C136">
        <v>77</v>
      </c>
      <c r="D136" t="s">
        <v>986</v>
      </c>
      <c r="E136" t="s">
        <v>44</v>
      </c>
      <c r="F136" t="s">
        <v>2002</v>
      </c>
      <c r="G136" t="s">
        <v>88</v>
      </c>
      <c r="H136" t="s">
        <v>88</v>
      </c>
      <c r="I136">
        <v>6</v>
      </c>
    </row>
    <row r="137" spans="1:9" x14ac:dyDescent="0.45">
      <c r="A137" t="s">
        <v>1148</v>
      </c>
      <c r="B137" t="s">
        <v>163</v>
      </c>
      <c r="C137">
        <v>24</v>
      </c>
      <c r="D137" t="s">
        <v>974</v>
      </c>
      <c r="E137" t="s">
        <v>44</v>
      </c>
      <c r="F137" t="s">
        <v>2003</v>
      </c>
      <c r="G137" t="s">
        <v>88</v>
      </c>
      <c r="H137" t="s">
        <v>88</v>
      </c>
      <c r="I137">
        <v>9</v>
      </c>
    </row>
    <row r="138" spans="1:9" x14ac:dyDescent="0.45">
      <c r="A138" t="s">
        <v>1148</v>
      </c>
      <c r="B138" t="s">
        <v>166</v>
      </c>
      <c r="C138">
        <v>20</v>
      </c>
      <c r="D138" t="s">
        <v>976</v>
      </c>
      <c r="E138" t="s">
        <v>72</v>
      </c>
      <c r="F138" t="s">
        <v>2004</v>
      </c>
      <c r="G138" t="s">
        <v>88</v>
      </c>
      <c r="H138" t="s">
        <v>88</v>
      </c>
      <c r="I138">
        <v>8</v>
      </c>
    </row>
    <row r="139" spans="1:9" x14ac:dyDescent="0.45">
      <c r="A139" t="s">
        <v>1148</v>
      </c>
      <c r="B139" t="s">
        <v>169</v>
      </c>
      <c r="C139">
        <v>14</v>
      </c>
      <c r="D139" t="s">
        <v>85</v>
      </c>
      <c r="E139" t="s">
        <v>39</v>
      </c>
      <c r="F139" t="s">
        <v>2005</v>
      </c>
      <c r="G139" t="s">
        <v>88</v>
      </c>
      <c r="H139" t="s">
        <v>88</v>
      </c>
      <c r="I139">
        <v>7</v>
      </c>
    </row>
    <row r="140" spans="1:9" x14ac:dyDescent="0.45">
      <c r="A140" t="s">
        <v>1148</v>
      </c>
      <c r="B140" t="s">
        <v>79</v>
      </c>
      <c r="C140">
        <v>2</v>
      </c>
      <c r="D140" t="s">
        <v>988</v>
      </c>
      <c r="E140" t="s">
        <v>34</v>
      </c>
      <c r="F140" t="s">
        <v>81</v>
      </c>
      <c r="G140" t="s">
        <v>88</v>
      </c>
      <c r="H140" t="s">
        <v>88</v>
      </c>
      <c r="I140">
        <v>8</v>
      </c>
    </row>
    <row r="141" spans="1:9" x14ac:dyDescent="0.45">
      <c r="A141" t="s">
        <v>317</v>
      </c>
      <c r="B141" t="s">
        <v>12</v>
      </c>
      <c r="C141">
        <v>16</v>
      </c>
      <c r="D141" t="s">
        <v>48</v>
      </c>
      <c r="E141" t="s">
        <v>49</v>
      </c>
      <c r="F141" t="s">
        <v>2006</v>
      </c>
      <c r="G141" t="s">
        <v>2007</v>
      </c>
      <c r="H141" t="s">
        <v>2008</v>
      </c>
      <c r="I141">
        <v>26</v>
      </c>
    </row>
    <row r="142" spans="1:9" x14ac:dyDescent="0.45">
      <c r="A142" t="s">
        <v>317</v>
      </c>
      <c r="B142" t="s">
        <v>18</v>
      </c>
      <c r="C142">
        <v>81</v>
      </c>
      <c r="D142" t="s">
        <v>53</v>
      </c>
      <c r="E142" t="s">
        <v>14</v>
      </c>
      <c r="F142" t="s">
        <v>2009</v>
      </c>
      <c r="G142" t="s">
        <v>2010</v>
      </c>
      <c r="H142" t="s">
        <v>2011</v>
      </c>
      <c r="I142">
        <v>24</v>
      </c>
    </row>
    <row r="143" spans="1:9" x14ac:dyDescent="0.45">
      <c r="A143" t="s">
        <v>317</v>
      </c>
      <c r="B143" t="s">
        <v>23</v>
      </c>
      <c r="C143">
        <v>55</v>
      </c>
      <c r="D143" t="s">
        <v>87</v>
      </c>
      <c r="E143" t="s">
        <v>49</v>
      </c>
      <c r="F143" t="s">
        <v>2012</v>
      </c>
      <c r="G143" t="s">
        <v>2013</v>
      </c>
      <c r="H143" t="s">
        <v>2014</v>
      </c>
      <c r="I143">
        <v>28</v>
      </c>
    </row>
    <row r="144" spans="1:9" x14ac:dyDescent="0.45">
      <c r="A144" t="s">
        <v>317</v>
      </c>
      <c r="B144" t="s">
        <v>28</v>
      </c>
      <c r="C144">
        <v>4</v>
      </c>
      <c r="D144" t="s">
        <v>13</v>
      </c>
      <c r="E144" t="s">
        <v>14</v>
      </c>
      <c r="F144" t="s">
        <v>2015</v>
      </c>
      <c r="G144" t="s">
        <v>717</v>
      </c>
      <c r="H144" t="s">
        <v>2016</v>
      </c>
      <c r="I144">
        <v>27</v>
      </c>
    </row>
    <row r="145" spans="1:9" x14ac:dyDescent="0.45">
      <c r="A145" t="s">
        <v>317</v>
      </c>
      <c r="B145" t="s">
        <v>32</v>
      </c>
      <c r="C145">
        <v>63</v>
      </c>
      <c r="D145" t="s">
        <v>24</v>
      </c>
      <c r="E145" t="s">
        <v>25</v>
      </c>
      <c r="F145" t="s">
        <v>2017</v>
      </c>
      <c r="G145" t="s">
        <v>2018</v>
      </c>
      <c r="H145" t="s">
        <v>2019</v>
      </c>
      <c r="I145">
        <v>28</v>
      </c>
    </row>
    <row r="146" spans="1:9" x14ac:dyDescent="0.45">
      <c r="A146" t="s">
        <v>317</v>
      </c>
      <c r="B146" t="s">
        <v>37</v>
      </c>
      <c r="C146">
        <v>1</v>
      </c>
      <c r="D146" t="s">
        <v>19</v>
      </c>
      <c r="E146" t="s">
        <v>20</v>
      </c>
      <c r="F146" t="s">
        <v>2020</v>
      </c>
      <c r="G146" t="s">
        <v>2021</v>
      </c>
      <c r="H146" t="s">
        <v>2022</v>
      </c>
      <c r="I146">
        <v>28</v>
      </c>
    </row>
    <row r="147" spans="1:9" x14ac:dyDescent="0.45">
      <c r="A147" t="s">
        <v>317</v>
      </c>
      <c r="B147" t="s">
        <v>42</v>
      </c>
      <c r="C147">
        <v>44</v>
      </c>
      <c r="D147" t="s">
        <v>57</v>
      </c>
      <c r="E147" t="s">
        <v>25</v>
      </c>
      <c r="F147" t="s">
        <v>2023</v>
      </c>
      <c r="G147" t="s">
        <v>2024</v>
      </c>
      <c r="H147" t="s">
        <v>2025</v>
      </c>
      <c r="I147">
        <v>28</v>
      </c>
    </row>
    <row r="148" spans="1:9" x14ac:dyDescent="0.45">
      <c r="A148" t="s">
        <v>317</v>
      </c>
      <c r="B148" t="s">
        <v>47</v>
      </c>
      <c r="C148">
        <v>22</v>
      </c>
      <c r="D148" t="s">
        <v>66</v>
      </c>
      <c r="E148" t="s">
        <v>979</v>
      </c>
      <c r="F148" t="s">
        <v>2026</v>
      </c>
      <c r="G148" t="s">
        <v>2027</v>
      </c>
      <c r="H148" t="s">
        <v>696</v>
      </c>
      <c r="I148">
        <v>25</v>
      </c>
    </row>
    <row r="149" spans="1:9" x14ac:dyDescent="0.45">
      <c r="A149" t="s">
        <v>317</v>
      </c>
      <c r="B149" t="s">
        <v>52</v>
      </c>
      <c r="C149">
        <v>23</v>
      </c>
      <c r="D149" t="s">
        <v>33</v>
      </c>
      <c r="E149" t="s">
        <v>34</v>
      </c>
      <c r="F149" t="s">
        <v>2028</v>
      </c>
      <c r="G149" t="s">
        <v>2029</v>
      </c>
      <c r="H149" t="s">
        <v>2030</v>
      </c>
      <c r="I149">
        <v>29</v>
      </c>
    </row>
    <row r="150" spans="1:9" x14ac:dyDescent="0.45">
      <c r="A150" t="s">
        <v>317</v>
      </c>
      <c r="B150" t="s">
        <v>56</v>
      </c>
      <c r="C150">
        <v>10</v>
      </c>
      <c r="D150" t="s">
        <v>61</v>
      </c>
      <c r="E150" t="s">
        <v>62</v>
      </c>
      <c r="F150" t="s">
        <v>2031</v>
      </c>
      <c r="G150" t="s">
        <v>2032</v>
      </c>
      <c r="H150" t="s">
        <v>2033</v>
      </c>
      <c r="I150">
        <v>30</v>
      </c>
    </row>
    <row r="151" spans="1:9" x14ac:dyDescent="0.45">
      <c r="A151" t="s">
        <v>317</v>
      </c>
      <c r="B151" t="s">
        <v>60</v>
      </c>
      <c r="C151">
        <v>31</v>
      </c>
      <c r="D151" t="s">
        <v>71</v>
      </c>
      <c r="E151" t="s">
        <v>62</v>
      </c>
      <c r="F151" t="s">
        <v>2034</v>
      </c>
      <c r="G151" t="s">
        <v>689</v>
      </c>
      <c r="H151" t="s">
        <v>88</v>
      </c>
      <c r="I151">
        <v>20</v>
      </c>
    </row>
    <row r="152" spans="1:9" x14ac:dyDescent="0.45">
      <c r="A152" t="s">
        <v>317</v>
      </c>
      <c r="B152" t="s">
        <v>79</v>
      </c>
      <c r="C152">
        <v>27</v>
      </c>
      <c r="D152" t="s">
        <v>43</v>
      </c>
      <c r="E152" t="s">
        <v>72</v>
      </c>
      <c r="F152" t="s">
        <v>2035</v>
      </c>
      <c r="G152" t="s">
        <v>2036</v>
      </c>
      <c r="H152" t="s">
        <v>88</v>
      </c>
      <c r="I152">
        <v>20</v>
      </c>
    </row>
    <row r="153" spans="1:9" x14ac:dyDescent="0.45">
      <c r="A153" t="s">
        <v>317</v>
      </c>
      <c r="B153" t="s">
        <v>65</v>
      </c>
      <c r="C153">
        <v>3</v>
      </c>
      <c r="D153" t="s">
        <v>978</v>
      </c>
      <c r="E153" t="s">
        <v>979</v>
      </c>
      <c r="F153" t="s">
        <v>2037</v>
      </c>
      <c r="G153" t="s">
        <v>2038</v>
      </c>
      <c r="H153" t="s">
        <v>88</v>
      </c>
      <c r="I153">
        <v>21</v>
      </c>
    </row>
    <row r="154" spans="1:9" x14ac:dyDescent="0.45">
      <c r="A154" t="s">
        <v>317</v>
      </c>
      <c r="B154" t="s">
        <v>70</v>
      </c>
      <c r="C154">
        <v>18</v>
      </c>
      <c r="D154" t="s">
        <v>38</v>
      </c>
      <c r="E154" t="s">
        <v>39</v>
      </c>
      <c r="F154" t="s">
        <v>2039</v>
      </c>
      <c r="G154" t="s">
        <v>2040</v>
      </c>
      <c r="H154" t="s">
        <v>88</v>
      </c>
      <c r="I154">
        <v>17</v>
      </c>
    </row>
    <row r="155" spans="1:9" x14ac:dyDescent="0.45">
      <c r="A155" t="s">
        <v>317</v>
      </c>
      <c r="B155" t="s">
        <v>79</v>
      </c>
      <c r="C155">
        <v>20</v>
      </c>
      <c r="D155" t="s">
        <v>976</v>
      </c>
      <c r="E155" t="s">
        <v>72</v>
      </c>
      <c r="F155" t="s">
        <v>2041</v>
      </c>
      <c r="G155" t="s">
        <v>2042</v>
      </c>
      <c r="H155" t="s">
        <v>88</v>
      </c>
      <c r="I155">
        <v>18</v>
      </c>
    </row>
    <row r="156" spans="1:9" x14ac:dyDescent="0.45">
      <c r="A156" t="s">
        <v>317</v>
      </c>
      <c r="B156" t="s">
        <v>75</v>
      </c>
      <c r="C156">
        <v>14</v>
      </c>
      <c r="D156" t="s">
        <v>85</v>
      </c>
      <c r="E156" t="s">
        <v>39</v>
      </c>
      <c r="F156" t="s">
        <v>2043</v>
      </c>
      <c r="G156" t="s">
        <v>88</v>
      </c>
      <c r="H156" t="s">
        <v>88</v>
      </c>
      <c r="I156">
        <v>11</v>
      </c>
    </row>
    <row r="157" spans="1:9" x14ac:dyDescent="0.45">
      <c r="A157" t="s">
        <v>317</v>
      </c>
      <c r="B157" t="s">
        <v>120</v>
      </c>
      <c r="C157">
        <v>2</v>
      </c>
      <c r="D157" t="s">
        <v>988</v>
      </c>
      <c r="E157" t="s">
        <v>34</v>
      </c>
      <c r="F157" t="s">
        <v>2044</v>
      </c>
      <c r="G157" t="s">
        <v>88</v>
      </c>
      <c r="H157" t="s">
        <v>88</v>
      </c>
      <c r="I157">
        <v>12</v>
      </c>
    </row>
    <row r="158" spans="1:9" x14ac:dyDescent="0.45">
      <c r="A158" t="s">
        <v>317</v>
      </c>
      <c r="B158" t="s">
        <v>122</v>
      </c>
      <c r="C158">
        <v>11</v>
      </c>
      <c r="D158" t="s">
        <v>955</v>
      </c>
      <c r="E158" t="s">
        <v>20</v>
      </c>
      <c r="F158" t="s">
        <v>2045</v>
      </c>
      <c r="G158" t="s">
        <v>88</v>
      </c>
      <c r="H158" t="s">
        <v>88</v>
      </c>
      <c r="I158">
        <v>12</v>
      </c>
    </row>
    <row r="159" spans="1:9" x14ac:dyDescent="0.45">
      <c r="A159" t="s">
        <v>317</v>
      </c>
      <c r="B159" t="s">
        <v>163</v>
      </c>
      <c r="C159">
        <v>77</v>
      </c>
      <c r="D159" t="s">
        <v>986</v>
      </c>
      <c r="E159" t="s">
        <v>44</v>
      </c>
      <c r="F159" t="s">
        <v>2046</v>
      </c>
      <c r="G159" t="s">
        <v>88</v>
      </c>
      <c r="H159" t="s">
        <v>88</v>
      </c>
      <c r="I159">
        <v>11</v>
      </c>
    </row>
    <row r="160" spans="1:9" x14ac:dyDescent="0.45">
      <c r="A160" t="s">
        <v>317</v>
      </c>
      <c r="B160" t="s">
        <v>166</v>
      </c>
      <c r="C160">
        <v>24</v>
      </c>
      <c r="D160" t="s">
        <v>974</v>
      </c>
      <c r="E160" t="s">
        <v>44</v>
      </c>
      <c r="F160" t="s">
        <v>2047</v>
      </c>
      <c r="G160" t="s">
        <v>88</v>
      </c>
      <c r="H160" t="s">
        <v>88</v>
      </c>
      <c r="I160">
        <v>11</v>
      </c>
    </row>
    <row r="161" spans="1:9" x14ac:dyDescent="0.45">
      <c r="A161" t="s">
        <v>844</v>
      </c>
      <c r="B161" t="s">
        <v>12</v>
      </c>
      <c r="C161">
        <v>63</v>
      </c>
      <c r="D161" t="s">
        <v>24</v>
      </c>
      <c r="E161" t="s">
        <v>25</v>
      </c>
      <c r="F161" t="s">
        <v>2048</v>
      </c>
      <c r="G161" t="s">
        <v>2049</v>
      </c>
      <c r="H161" t="s">
        <v>2050</v>
      </c>
      <c r="I161">
        <v>26</v>
      </c>
    </row>
    <row r="162" spans="1:9" x14ac:dyDescent="0.45">
      <c r="A162" t="s">
        <v>844</v>
      </c>
      <c r="B162" t="s">
        <v>18</v>
      </c>
      <c r="C162">
        <v>1</v>
      </c>
      <c r="D162" t="s">
        <v>19</v>
      </c>
      <c r="E162" t="s">
        <v>20</v>
      </c>
      <c r="F162" t="s">
        <v>2051</v>
      </c>
      <c r="G162" t="s">
        <v>2052</v>
      </c>
      <c r="H162" t="s">
        <v>2050</v>
      </c>
      <c r="I162">
        <v>27</v>
      </c>
    </row>
    <row r="163" spans="1:9" x14ac:dyDescent="0.45">
      <c r="A163" t="s">
        <v>844</v>
      </c>
      <c r="B163" t="s">
        <v>23</v>
      </c>
      <c r="C163">
        <v>4</v>
      </c>
      <c r="D163" t="s">
        <v>13</v>
      </c>
      <c r="E163" t="s">
        <v>14</v>
      </c>
      <c r="F163" t="s">
        <v>2053</v>
      </c>
      <c r="G163" t="s">
        <v>2054</v>
      </c>
      <c r="H163" t="s">
        <v>2055</v>
      </c>
      <c r="I163">
        <v>25</v>
      </c>
    </row>
    <row r="164" spans="1:9" x14ac:dyDescent="0.45">
      <c r="A164" t="s">
        <v>844</v>
      </c>
      <c r="B164" t="s">
        <v>28</v>
      </c>
      <c r="C164">
        <v>81</v>
      </c>
      <c r="D164" t="s">
        <v>53</v>
      </c>
      <c r="E164" t="s">
        <v>14</v>
      </c>
      <c r="F164" t="s">
        <v>2056</v>
      </c>
      <c r="G164" t="s">
        <v>2057</v>
      </c>
      <c r="H164" t="s">
        <v>2058</v>
      </c>
      <c r="I164">
        <v>29</v>
      </c>
    </row>
    <row r="165" spans="1:9" x14ac:dyDescent="0.45">
      <c r="A165" t="s">
        <v>844</v>
      </c>
      <c r="B165" t="s">
        <v>32</v>
      </c>
      <c r="C165">
        <v>3</v>
      </c>
      <c r="D165" t="s">
        <v>978</v>
      </c>
      <c r="E165" t="s">
        <v>979</v>
      </c>
      <c r="F165" t="s">
        <v>2059</v>
      </c>
      <c r="G165" t="s">
        <v>2060</v>
      </c>
      <c r="H165" t="s">
        <v>2061</v>
      </c>
      <c r="I165">
        <v>25</v>
      </c>
    </row>
    <row r="166" spans="1:9" x14ac:dyDescent="0.45">
      <c r="A166" t="s">
        <v>844</v>
      </c>
      <c r="B166" t="s">
        <v>37</v>
      </c>
      <c r="C166">
        <v>14</v>
      </c>
      <c r="D166" t="s">
        <v>85</v>
      </c>
      <c r="E166" t="s">
        <v>39</v>
      </c>
      <c r="F166" t="s">
        <v>2062</v>
      </c>
      <c r="G166" t="s">
        <v>2063</v>
      </c>
      <c r="H166" t="s">
        <v>2064</v>
      </c>
      <c r="I166">
        <v>23</v>
      </c>
    </row>
    <row r="167" spans="1:9" x14ac:dyDescent="0.45">
      <c r="A167" t="s">
        <v>844</v>
      </c>
      <c r="B167" t="s">
        <v>42</v>
      </c>
      <c r="C167">
        <v>44</v>
      </c>
      <c r="D167" t="s">
        <v>57</v>
      </c>
      <c r="E167" t="s">
        <v>25</v>
      </c>
      <c r="F167" t="s">
        <v>2065</v>
      </c>
      <c r="G167" t="s">
        <v>728</v>
      </c>
      <c r="H167" t="s">
        <v>2066</v>
      </c>
      <c r="I167">
        <v>26</v>
      </c>
    </row>
    <row r="168" spans="1:9" x14ac:dyDescent="0.45">
      <c r="A168" t="s">
        <v>844</v>
      </c>
      <c r="B168" t="s">
        <v>47</v>
      </c>
      <c r="C168">
        <v>22</v>
      </c>
      <c r="D168" t="s">
        <v>66</v>
      </c>
      <c r="E168" t="s">
        <v>979</v>
      </c>
      <c r="F168" t="s">
        <v>2067</v>
      </c>
      <c r="G168" t="s">
        <v>2068</v>
      </c>
      <c r="H168" t="s">
        <v>2069</v>
      </c>
      <c r="I168">
        <v>24</v>
      </c>
    </row>
    <row r="169" spans="1:9" x14ac:dyDescent="0.45">
      <c r="A169" t="s">
        <v>844</v>
      </c>
      <c r="B169" t="s">
        <v>52</v>
      </c>
      <c r="C169">
        <v>18</v>
      </c>
      <c r="D169" t="s">
        <v>38</v>
      </c>
      <c r="E169" t="s">
        <v>39</v>
      </c>
      <c r="F169" t="s">
        <v>2070</v>
      </c>
      <c r="G169" t="s">
        <v>2071</v>
      </c>
      <c r="H169" t="s">
        <v>2072</v>
      </c>
      <c r="I169">
        <v>25</v>
      </c>
    </row>
    <row r="170" spans="1:9" x14ac:dyDescent="0.45">
      <c r="A170" t="s">
        <v>844</v>
      </c>
      <c r="B170" t="s">
        <v>56</v>
      </c>
      <c r="C170">
        <v>23</v>
      </c>
      <c r="D170" t="s">
        <v>33</v>
      </c>
      <c r="E170" t="s">
        <v>34</v>
      </c>
      <c r="F170" t="s">
        <v>2073</v>
      </c>
      <c r="G170" t="s">
        <v>2074</v>
      </c>
      <c r="H170" t="s">
        <v>2075</v>
      </c>
      <c r="I170">
        <v>26</v>
      </c>
    </row>
    <row r="171" spans="1:9" x14ac:dyDescent="0.45">
      <c r="A171" t="s">
        <v>844</v>
      </c>
      <c r="B171" t="s">
        <v>60</v>
      </c>
      <c r="C171">
        <v>16</v>
      </c>
      <c r="D171" t="s">
        <v>48</v>
      </c>
      <c r="E171" t="s">
        <v>49</v>
      </c>
      <c r="F171" t="s">
        <v>2076</v>
      </c>
      <c r="G171" t="s">
        <v>2077</v>
      </c>
      <c r="H171" t="s">
        <v>88</v>
      </c>
      <c r="I171">
        <v>21</v>
      </c>
    </row>
    <row r="172" spans="1:9" x14ac:dyDescent="0.45">
      <c r="A172" t="s">
        <v>844</v>
      </c>
      <c r="B172" t="s">
        <v>65</v>
      </c>
      <c r="C172">
        <v>55</v>
      </c>
      <c r="D172" t="s">
        <v>87</v>
      </c>
      <c r="E172" t="s">
        <v>49</v>
      </c>
      <c r="F172" t="s">
        <v>767</v>
      </c>
      <c r="G172" t="s">
        <v>2078</v>
      </c>
      <c r="H172" t="s">
        <v>88</v>
      </c>
      <c r="I172">
        <v>22</v>
      </c>
    </row>
    <row r="173" spans="1:9" x14ac:dyDescent="0.45">
      <c r="A173" t="s">
        <v>844</v>
      </c>
      <c r="B173" t="s">
        <v>70</v>
      </c>
      <c r="C173">
        <v>2</v>
      </c>
      <c r="D173" t="s">
        <v>988</v>
      </c>
      <c r="E173" t="s">
        <v>34</v>
      </c>
      <c r="F173" t="s">
        <v>2079</v>
      </c>
      <c r="G173" t="s">
        <v>2080</v>
      </c>
      <c r="H173" t="s">
        <v>88</v>
      </c>
      <c r="I173">
        <v>22</v>
      </c>
    </row>
    <row r="174" spans="1:9" x14ac:dyDescent="0.45">
      <c r="A174" t="s">
        <v>844</v>
      </c>
      <c r="B174" t="s">
        <v>75</v>
      </c>
      <c r="C174">
        <v>20</v>
      </c>
      <c r="D174" t="s">
        <v>976</v>
      </c>
      <c r="E174" t="s">
        <v>72</v>
      </c>
      <c r="F174" t="s">
        <v>2081</v>
      </c>
      <c r="G174" t="s">
        <v>2082</v>
      </c>
      <c r="H174" t="s">
        <v>88</v>
      </c>
      <c r="I174">
        <v>16</v>
      </c>
    </row>
    <row r="175" spans="1:9" x14ac:dyDescent="0.45">
      <c r="A175" t="s">
        <v>844</v>
      </c>
      <c r="B175" t="s">
        <v>120</v>
      </c>
      <c r="C175">
        <v>10</v>
      </c>
      <c r="D175" t="s">
        <v>61</v>
      </c>
      <c r="E175" t="s">
        <v>62</v>
      </c>
      <c r="F175" t="s">
        <v>2083</v>
      </c>
      <c r="G175" t="s">
        <v>2084</v>
      </c>
      <c r="H175" t="s">
        <v>88</v>
      </c>
      <c r="I175">
        <v>18</v>
      </c>
    </row>
    <row r="176" spans="1:9" x14ac:dyDescent="0.45">
      <c r="A176" t="s">
        <v>844</v>
      </c>
      <c r="B176" t="s">
        <v>122</v>
      </c>
      <c r="C176">
        <v>11</v>
      </c>
      <c r="D176" t="s">
        <v>955</v>
      </c>
      <c r="E176" t="s">
        <v>20</v>
      </c>
      <c r="F176" t="s">
        <v>2085</v>
      </c>
      <c r="G176" t="s">
        <v>88</v>
      </c>
      <c r="H176" t="s">
        <v>88</v>
      </c>
      <c r="I176">
        <v>11</v>
      </c>
    </row>
    <row r="177" spans="1:9" x14ac:dyDescent="0.45">
      <c r="A177" t="s">
        <v>844</v>
      </c>
      <c r="B177" t="s">
        <v>163</v>
      </c>
      <c r="C177">
        <v>77</v>
      </c>
      <c r="D177" t="s">
        <v>986</v>
      </c>
      <c r="E177" t="s">
        <v>44</v>
      </c>
      <c r="F177" t="s">
        <v>2086</v>
      </c>
      <c r="G177" t="s">
        <v>88</v>
      </c>
      <c r="H177" t="s">
        <v>88</v>
      </c>
      <c r="I177">
        <v>10</v>
      </c>
    </row>
    <row r="178" spans="1:9" x14ac:dyDescent="0.45">
      <c r="A178" t="s">
        <v>844</v>
      </c>
      <c r="B178" t="s">
        <v>166</v>
      </c>
      <c r="C178">
        <v>31</v>
      </c>
      <c r="D178" t="s">
        <v>71</v>
      </c>
      <c r="E178" t="s">
        <v>62</v>
      </c>
      <c r="F178" t="s">
        <v>2087</v>
      </c>
      <c r="G178" t="s">
        <v>88</v>
      </c>
      <c r="H178" t="s">
        <v>88</v>
      </c>
      <c r="I178">
        <v>11</v>
      </c>
    </row>
    <row r="179" spans="1:9" x14ac:dyDescent="0.45">
      <c r="A179" t="s">
        <v>844</v>
      </c>
      <c r="B179" t="s">
        <v>169</v>
      </c>
      <c r="C179">
        <v>27</v>
      </c>
      <c r="D179" t="s">
        <v>43</v>
      </c>
      <c r="E179" t="s">
        <v>72</v>
      </c>
      <c r="F179" t="s">
        <v>2088</v>
      </c>
      <c r="G179" t="s">
        <v>88</v>
      </c>
      <c r="H179" t="s">
        <v>88</v>
      </c>
      <c r="I179">
        <v>10</v>
      </c>
    </row>
    <row r="180" spans="1:9" x14ac:dyDescent="0.45">
      <c r="A180" t="s">
        <v>844</v>
      </c>
      <c r="B180" t="s">
        <v>172</v>
      </c>
      <c r="C180">
        <v>24</v>
      </c>
      <c r="D180" t="s">
        <v>974</v>
      </c>
      <c r="E180" t="s">
        <v>44</v>
      </c>
      <c r="F180" t="s">
        <v>2089</v>
      </c>
      <c r="G180" t="s">
        <v>88</v>
      </c>
      <c r="H180" t="s">
        <v>88</v>
      </c>
      <c r="I180">
        <v>11</v>
      </c>
    </row>
    <row r="181" spans="1:9" x14ac:dyDescent="0.45">
      <c r="A181" t="s">
        <v>345</v>
      </c>
      <c r="B181" t="s">
        <v>12</v>
      </c>
      <c r="C181">
        <v>4</v>
      </c>
      <c r="D181" t="s">
        <v>13</v>
      </c>
      <c r="E181" t="s">
        <v>14</v>
      </c>
      <c r="F181" t="s">
        <v>2090</v>
      </c>
      <c r="G181" t="s">
        <v>2091</v>
      </c>
      <c r="H181" t="s">
        <v>2092</v>
      </c>
      <c r="I181">
        <v>12</v>
      </c>
    </row>
    <row r="182" spans="1:9" x14ac:dyDescent="0.45">
      <c r="A182" t="s">
        <v>345</v>
      </c>
      <c r="B182" t="s">
        <v>18</v>
      </c>
      <c r="C182">
        <v>1</v>
      </c>
      <c r="D182" t="s">
        <v>19</v>
      </c>
      <c r="E182" t="s">
        <v>20</v>
      </c>
      <c r="F182" t="s">
        <v>2093</v>
      </c>
      <c r="G182" t="s">
        <v>2094</v>
      </c>
      <c r="H182" t="s">
        <v>2095</v>
      </c>
      <c r="I182">
        <v>12</v>
      </c>
    </row>
    <row r="183" spans="1:9" x14ac:dyDescent="0.45">
      <c r="A183" t="s">
        <v>345</v>
      </c>
      <c r="B183" t="s">
        <v>23</v>
      </c>
      <c r="C183">
        <v>44</v>
      </c>
      <c r="D183" t="s">
        <v>57</v>
      </c>
      <c r="E183" t="s">
        <v>25</v>
      </c>
      <c r="F183" t="s">
        <v>2096</v>
      </c>
      <c r="G183" t="s">
        <v>2097</v>
      </c>
      <c r="H183" t="s">
        <v>2098</v>
      </c>
      <c r="I183">
        <v>18</v>
      </c>
    </row>
    <row r="184" spans="1:9" x14ac:dyDescent="0.45">
      <c r="A184" t="s">
        <v>345</v>
      </c>
      <c r="B184" t="s">
        <v>28</v>
      </c>
      <c r="C184">
        <v>63</v>
      </c>
      <c r="D184" t="s">
        <v>24</v>
      </c>
      <c r="E184" t="s">
        <v>25</v>
      </c>
      <c r="F184" t="s">
        <v>2099</v>
      </c>
      <c r="G184" t="s">
        <v>2100</v>
      </c>
      <c r="H184" t="s">
        <v>2101</v>
      </c>
      <c r="I184">
        <v>16</v>
      </c>
    </row>
    <row r="185" spans="1:9" x14ac:dyDescent="0.45">
      <c r="A185" t="s">
        <v>345</v>
      </c>
      <c r="B185" t="s">
        <v>32</v>
      </c>
      <c r="C185">
        <v>16</v>
      </c>
      <c r="D185" t="s">
        <v>48</v>
      </c>
      <c r="E185" t="s">
        <v>49</v>
      </c>
      <c r="F185" t="s">
        <v>2102</v>
      </c>
      <c r="G185" t="s">
        <v>2103</v>
      </c>
      <c r="H185" t="s">
        <v>2104</v>
      </c>
      <c r="I185">
        <v>12</v>
      </c>
    </row>
    <row r="186" spans="1:9" x14ac:dyDescent="0.45">
      <c r="A186" t="s">
        <v>345</v>
      </c>
      <c r="B186" t="s">
        <v>37</v>
      </c>
      <c r="C186">
        <v>55</v>
      </c>
      <c r="D186" t="s">
        <v>87</v>
      </c>
      <c r="E186" t="s">
        <v>49</v>
      </c>
      <c r="F186" t="s">
        <v>2105</v>
      </c>
      <c r="G186" t="s">
        <v>2106</v>
      </c>
      <c r="H186" t="s">
        <v>2107</v>
      </c>
      <c r="I186">
        <v>12</v>
      </c>
    </row>
    <row r="187" spans="1:9" x14ac:dyDescent="0.45">
      <c r="A187" t="s">
        <v>345</v>
      </c>
      <c r="B187" t="s">
        <v>42</v>
      </c>
      <c r="C187">
        <v>10</v>
      </c>
      <c r="D187" t="s">
        <v>61</v>
      </c>
      <c r="E187" t="s">
        <v>62</v>
      </c>
      <c r="F187" t="s">
        <v>2108</v>
      </c>
      <c r="G187" t="s">
        <v>2109</v>
      </c>
      <c r="H187" t="s">
        <v>2110</v>
      </c>
      <c r="I187">
        <v>18</v>
      </c>
    </row>
    <row r="188" spans="1:9" x14ac:dyDescent="0.45">
      <c r="A188" t="s">
        <v>345</v>
      </c>
      <c r="B188" t="s">
        <v>47</v>
      </c>
      <c r="C188">
        <v>11</v>
      </c>
      <c r="D188" t="s">
        <v>955</v>
      </c>
      <c r="E188" t="s">
        <v>20</v>
      </c>
      <c r="F188" t="s">
        <v>2111</v>
      </c>
      <c r="G188" t="s">
        <v>2112</v>
      </c>
      <c r="H188" t="s">
        <v>2113</v>
      </c>
      <c r="I188">
        <v>18</v>
      </c>
    </row>
    <row r="189" spans="1:9" x14ac:dyDescent="0.45">
      <c r="A189" t="s">
        <v>345</v>
      </c>
      <c r="B189" t="s">
        <v>52</v>
      </c>
      <c r="C189">
        <v>31</v>
      </c>
      <c r="D189" t="s">
        <v>71</v>
      </c>
      <c r="E189" t="s">
        <v>62</v>
      </c>
      <c r="F189" t="s">
        <v>2077</v>
      </c>
      <c r="G189" t="s">
        <v>2114</v>
      </c>
      <c r="H189" t="s">
        <v>2115</v>
      </c>
      <c r="I189">
        <v>18</v>
      </c>
    </row>
    <row r="190" spans="1:9" x14ac:dyDescent="0.45">
      <c r="A190" t="s">
        <v>345</v>
      </c>
      <c r="B190" t="s">
        <v>56</v>
      </c>
      <c r="C190">
        <v>81</v>
      </c>
      <c r="D190" t="s">
        <v>53</v>
      </c>
      <c r="E190" t="s">
        <v>14</v>
      </c>
      <c r="F190" t="s">
        <v>2116</v>
      </c>
      <c r="G190" t="s">
        <v>2117</v>
      </c>
      <c r="H190" t="s">
        <v>81</v>
      </c>
      <c r="I190">
        <v>18</v>
      </c>
    </row>
    <row r="191" spans="1:9" x14ac:dyDescent="0.45">
      <c r="A191" t="s">
        <v>345</v>
      </c>
      <c r="B191" t="s">
        <v>60</v>
      </c>
      <c r="C191">
        <v>14</v>
      </c>
      <c r="D191" t="s">
        <v>85</v>
      </c>
      <c r="E191" t="s">
        <v>39</v>
      </c>
      <c r="F191" t="s">
        <v>2118</v>
      </c>
      <c r="G191" t="s">
        <v>2119</v>
      </c>
      <c r="H191" t="s">
        <v>88</v>
      </c>
      <c r="I191">
        <v>12</v>
      </c>
    </row>
    <row r="192" spans="1:9" x14ac:dyDescent="0.45">
      <c r="A192" t="s">
        <v>345</v>
      </c>
      <c r="B192" t="s">
        <v>65</v>
      </c>
      <c r="C192">
        <v>77</v>
      </c>
      <c r="D192" t="s">
        <v>986</v>
      </c>
      <c r="E192" t="s">
        <v>44</v>
      </c>
      <c r="F192" t="s">
        <v>2120</v>
      </c>
      <c r="G192" t="s">
        <v>2121</v>
      </c>
      <c r="H192" t="s">
        <v>88</v>
      </c>
      <c r="I192">
        <v>12</v>
      </c>
    </row>
    <row r="193" spans="1:9" x14ac:dyDescent="0.45">
      <c r="A193" t="s">
        <v>345</v>
      </c>
      <c r="B193" t="s">
        <v>70</v>
      </c>
      <c r="C193">
        <v>27</v>
      </c>
      <c r="D193" t="s">
        <v>43</v>
      </c>
      <c r="E193" t="s">
        <v>72</v>
      </c>
      <c r="F193" t="s">
        <v>2122</v>
      </c>
      <c r="G193" t="s">
        <v>2123</v>
      </c>
      <c r="H193" t="s">
        <v>88</v>
      </c>
      <c r="I193">
        <v>12</v>
      </c>
    </row>
    <row r="194" spans="1:9" x14ac:dyDescent="0.45">
      <c r="A194" t="s">
        <v>345</v>
      </c>
      <c r="B194" t="s">
        <v>75</v>
      </c>
      <c r="C194">
        <v>18</v>
      </c>
      <c r="D194" t="s">
        <v>38</v>
      </c>
      <c r="E194" t="s">
        <v>39</v>
      </c>
      <c r="F194" t="s">
        <v>2124</v>
      </c>
      <c r="G194" t="s">
        <v>2125</v>
      </c>
      <c r="H194" t="s">
        <v>88</v>
      </c>
      <c r="I194">
        <v>15</v>
      </c>
    </row>
    <row r="195" spans="1:9" x14ac:dyDescent="0.45">
      <c r="A195" t="s">
        <v>345</v>
      </c>
      <c r="B195" t="s">
        <v>120</v>
      </c>
      <c r="C195">
        <v>24</v>
      </c>
      <c r="D195" t="s">
        <v>974</v>
      </c>
      <c r="E195" t="s">
        <v>44</v>
      </c>
      <c r="F195" t="s">
        <v>2126</v>
      </c>
      <c r="G195" t="s">
        <v>2127</v>
      </c>
      <c r="H195" t="s">
        <v>88</v>
      </c>
      <c r="I195">
        <v>15</v>
      </c>
    </row>
    <row r="196" spans="1:9" x14ac:dyDescent="0.45">
      <c r="A196" t="s">
        <v>345</v>
      </c>
      <c r="B196" t="s">
        <v>122</v>
      </c>
      <c r="C196">
        <v>20</v>
      </c>
      <c r="D196" t="s">
        <v>976</v>
      </c>
      <c r="E196" t="s">
        <v>72</v>
      </c>
      <c r="F196" t="s">
        <v>2128</v>
      </c>
      <c r="G196" t="s">
        <v>88</v>
      </c>
      <c r="H196" t="s">
        <v>88</v>
      </c>
      <c r="I196">
        <v>6</v>
      </c>
    </row>
    <row r="197" spans="1:9" x14ac:dyDescent="0.45">
      <c r="A197" t="s">
        <v>345</v>
      </c>
      <c r="B197" t="s">
        <v>163</v>
      </c>
      <c r="C197">
        <v>22</v>
      </c>
      <c r="D197" t="s">
        <v>66</v>
      </c>
      <c r="E197" t="s">
        <v>979</v>
      </c>
      <c r="F197" t="s">
        <v>2129</v>
      </c>
      <c r="G197" t="s">
        <v>88</v>
      </c>
      <c r="H197" t="s">
        <v>88</v>
      </c>
      <c r="I197">
        <v>9</v>
      </c>
    </row>
    <row r="198" spans="1:9" x14ac:dyDescent="0.45">
      <c r="A198" t="s">
        <v>345</v>
      </c>
      <c r="B198" t="s">
        <v>166</v>
      </c>
      <c r="C198">
        <v>3</v>
      </c>
      <c r="D198" t="s">
        <v>978</v>
      </c>
      <c r="E198" t="s">
        <v>979</v>
      </c>
      <c r="F198" t="s">
        <v>2130</v>
      </c>
      <c r="G198" t="s">
        <v>88</v>
      </c>
      <c r="H198" t="s">
        <v>88</v>
      </c>
      <c r="I198">
        <v>9</v>
      </c>
    </row>
    <row r="199" spans="1:9" x14ac:dyDescent="0.45">
      <c r="A199" t="s">
        <v>345</v>
      </c>
      <c r="B199" t="s">
        <v>169</v>
      </c>
      <c r="C199">
        <v>23</v>
      </c>
      <c r="D199" t="s">
        <v>33</v>
      </c>
      <c r="E199" t="s">
        <v>34</v>
      </c>
      <c r="F199" t="s">
        <v>2131</v>
      </c>
      <c r="G199" t="s">
        <v>88</v>
      </c>
      <c r="H199" t="s">
        <v>88</v>
      </c>
      <c r="I199">
        <v>6</v>
      </c>
    </row>
    <row r="200" spans="1:9" x14ac:dyDescent="0.45">
      <c r="A200" t="s">
        <v>345</v>
      </c>
      <c r="B200" t="s">
        <v>172</v>
      </c>
      <c r="C200">
        <v>2</v>
      </c>
      <c r="D200" t="s">
        <v>988</v>
      </c>
      <c r="E200" t="s">
        <v>34</v>
      </c>
      <c r="F200" t="s">
        <v>2132</v>
      </c>
      <c r="G200" t="s">
        <v>88</v>
      </c>
      <c r="H200" t="s">
        <v>88</v>
      </c>
      <c r="I200">
        <v>9</v>
      </c>
    </row>
    <row r="201" spans="1:9" x14ac:dyDescent="0.45">
      <c r="A201" t="s">
        <v>1266</v>
      </c>
      <c r="B201" t="s">
        <v>12</v>
      </c>
      <c r="C201">
        <v>1</v>
      </c>
      <c r="D201" t="s">
        <v>19</v>
      </c>
      <c r="E201" t="s">
        <v>20</v>
      </c>
      <c r="F201" t="s">
        <v>2133</v>
      </c>
      <c r="G201" t="s">
        <v>2134</v>
      </c>
      <c r="H201" t="s">
        <v>2135</v>
      </c>
      <c r="I201">
        <v>18</v>
      </c>
    </row>
    <row r="202" spans="1:9" x14ac:dyDescent="0.45">
      <c r="A202" t="s">
        <v>1266</v>
      </c>
      <c r="B202" t="s">
        <v>18</v>
      </c>
      <c r="C202">
        <v>4</v>
      </c>
      <c r="D202" t="s">
        <v>13</v>
      </c>
      <c r="E202" t="s">
        <v>14</v>
      </c>
      <c r="F202" t="s">
        <v>2136</v>
      </c>
      <c r="G202" t="s">
        <v>2137</v>
      </c>
      <c r="H202" t="s">
        <v>2138</v>
      </c>
      <c r="I202">
        <v>20</v>
      </c>
    </row>
    <row r="203" spans="1:9" x14ac:dyDescent="0.45">
      <c r="A203" t="s">
        <v>1266</v>
      </c>
      <c r="B203" t="s">
        <v>23</v>
      </c>
      <c r="C203">
        <v>63</v>
      </c>
      <c r="D203" t="s">
        <v>24</v>
      </c>
      <c r="E203" t="s">
        <v>25</v>
      </c>
      <c r="F203" t="s">
        <v>2139</v>
      </c>
      <c r="G203" t="s">
        <v>2140</v>
      </c>
      <c r="H203" t="s">
        <v>2141</v>
      </c>
      <c r="I203">
        <v>18</v>
      </c>
    </row>
    <row r="204" spans="1:9" x14ac:dyDescent="0.45">
      <c r="A204" t="s">
        <v>1266</v>
      </c>
      <c r="B204" t="s">
        <v>28</v>
      </c>
      <c r="C204">
        <v>55</v>
      </c>
      <c r="D204" t="s">
        <v>87</v>
      </c>
      <c r="E204" t="s">
        <v>49</v>
      </c>
      <c r="F204" t="s">
        <v>2142</v>
      </c>
      <c r="G204" t="s">
        <v>2140</v>
      </c>
      <c r="H204" t="s">
        <v>2143</v>
      </c>
      <c r="I204">
        <v>18</v>
      </c>
    </row>
    <row r="205" spans="1:9" x14ac:dyDescent="0.45">
      <c r="A205" t="s">
        <v>1266</v>
      </c>
      <c r="B205" t="s">
        <v>32</v>
      </c>
      <c r="C205">
        <v>44</v>
      </c>
      <c r="D205" t="s">
        <v>57</v>
      </c>
      <c r="E205" t="s">
        <v>25</v>
      </c>
      <c r="F205" t="s">
        <v>2144</v>
      </c>
      <c r="G205" t="s">
        <v>2145</v>
      </c>
      <c r="H205" t="s">
        <v>2146</v>
      </c>
      <c r="I205">
        <v>18</v>
      </c>
    </row>
    <row r="206" spans="1:9" x14ac:dyDescent="0.45">
      <c r="A206" t="s">
        <v>1266</v>
      </c>
      <c r="B206" t="s">
        <v>37</v>
      </c>
      <c r="C206">
        <v>16</v>
      </c>
      <c r="D206" t="s">
        <v>48</v>
      </c>
      <c r="E206" t="s">
        <v>49</v>
      </c>
      <c r="F206" t="s">
        <v>2147</v>
      </c>
      <c r="G206" t="s">
        <v>2148</v>
      </c>
      <c r="H206" t="s">
        <v>2149</v>
      </c>
      <c r="I206">
        <v>22</v>
      </c>
    </row>
    <row r="207" spans="1:9" x14ac:dyDescent="0.45">
      <c r="A207" t="s">
        <v>1266</v>
      </c>
      <c r="B207" t="s">
        <v>42</v>
      </c>
      <c r="C207">
        <v>81</v>
      </c>
      <c r="D207" t="s">
        <v>53</v>
      </c>
      <c r="E207" t="s">
        <v>14</v>
      </c>
      <c r="F207" t="s">
        <v>2150</v>
      </c>
      <c r="G207" t="s">
        <v>2151</v>
      </c>
      <c r="H207" t="s">
        <v>2152</v>
      </c>
      <c r="I207">
        <v>17</v>
      </c>
    </row>
    <row r="208" spans="1:9" x14ac:dyDescent="0.45">
      <c r="A208" t="s">
        <v>1266</v>
      </c>
      <c r="B208" t="s">
        <v>47</v>
      </c>
      <c r="C208">
        <v>11</v>
      </c>
      <c r="D208" t="s">
        <v>955</v>
      </c>
      <c r="E208" t="s">
        <v>20</v>
      </c>
      <c r="F208" t="s">
        <v>2153</v>
      </c>
      <c r="G208" t="s">
        <v>2154</v>
      </c>
      <c r="H208" t="s">
        <v>2155</v>
      </c>
      <c r="I208">
        <v>21</v>
      </c>
    </row>
    <row r="209" spans="1:9" x14ac:dyDescent="0.45">
      <c r="A209" t="s">
        <v>1266</v>
      </c>
      <c r="B209" t="s">
        <v>52</v>
      </c>
      <c r="C209">
        <v>27</v>
      </c>
      <c r="D209" t="s">
        <v>43</v>
      </c>
      <c r="E209" t="s">
        <v>72</v>
      </c>
      <c r="F209" t="s">
        <v>2156</v>
      </c>
      <c r="G209" t="s">
        <v>2157</v>
      </c>
      <c r="H209" t="s">
        <v>2158</v>
      </c>
      <c r="I209">
        <v>21</v>
      </c>
    </row>
    <row r="210" spans="1:9" x14ac:dyDescent="0.45">
      <c r="A210" t="s">
        <v>1266</v>
      </c>
      <c r="B210" t="s">
        <v>56</v>
      </c>
      <c r="C210">
        <v>31</v>
      </c>
      <c r="D210" t="s">
        <v>71</v>
      </c>
      <c r="E210" t="s">
        <v>62</v>
      </c>
      <c r="F210" t="s">
        <v>2159</v>
      </c>
      <c r="G210" t="s">
        <v>2160</v>
      </c>
      <c r="H210" t="s">
        <v>2161</v>
      </c>
      <c r="I210">
        <v>24</v>
      </c>
    </row>
    <row r="211" spans="1:9" x14ac:dyDescent="0.45">
      <c r="A211" t="s">
        <v>1266</v>
      </c>
      <c r="B211" t="s">
        <v>60</v>
      </c>
      <c r="C211">
        <v>3</v>
      </c>
      <c r="D211" t="s">
        <v>978</v>
      </c>
      <c r="E211" t="s">
        <v>979</v>
      </c>
      <c r="F211" t="s">
        <v>2162</v>
      </c>
      <c r="G211" t="s">
        <v>2163</v>
      </c>
      <c r="H211" t="s">
        <v>88</v>
      </c>
      <c r="I211">
        <v>15</v>
      </c>
    </row>
    <row r="212" spans="1:9" x14ac:dyDescent="0.45">
      <c r="A212" t="s">
        <v>1266</v>
      </c>
      <c r="B212" t="s">
        <v>65</v>
      </c>
      <c r="C212">
        <v>20</v>
      </c>
      <c r="D212" t="s">
        <v>976</v>
      </c>
      <c r="E212" t="s">
        <v>72</v>
      </c>
      <c r="F212" t="s">
        <v>2164</v>
      </c>
      <c r="G212" t="s">
        <v>2165</v>
      </c>
      <c r="H212" t="s">
        <v>88</v>
      </c>
      <c r="I212">
        <v>15</v>
      </c>
    </row>
    <row r="213" spans="1:9" x14ac:dyDescent="0.45">
      <c r="A213" t="s">
        <v>1266</v>
      </c>
      <c r="B213" t="s">
        <v>70</v>
      </c>
      <c r="C213">
        <v>10</v>
      </c>
      <c r="D213" t="s">
        <v>61</v>
      </c>
      <c r="E213" t="s">
        <v>62</v>
      </c>
      <c r="F213" t="s">
        <v>2166</v>
      </c>
      <c r="G213" t="s">
        <v>2167</v>
      </c>
      <c r="H213" t="s">
        <v>88</v>
      </c>
      <c r="I213">
        <v>18</v>
      </c>
    </row>
    <row r="214" spans="1:9" x14ac:dyDescent="0.45">
      <c r="A214" t="s">
        <v>1266</v>
      </c>
      <c r="B214" t="s">
        <v>75</v>
      </c>
      <c r="C214">
        <v>22</v>
      </c>
      <c r="D214" t="s">
        <v>66</v>
      </c>
      <c r="E214" t="s">
        <v>979</v>
      </c>
      <c r="F214" t="s">
        <v>2168</v>
      </c>
      <c r="G214" t="s">
        <v>2169</v>
      </c>
      <c r="H214" t="s">
        <v>88</v>
      </c>
      <c r="I214">
        <v>15</v>
      </c>
    </row>
    <row r="215" spans="1:9" x14ac:dyDescent="0.45">
      <c r="A215" t="s">
        <v>1266</v>
      </c>
      <c r="B215" t="s">
        <v>120</v>
      </c>
      <c r="C215">
        <v>14</v>
      </c>
      <c r="D215" t="s">
        <v>85</v>
      </c>
      <c r="E215" t="s">
        <v>39</v>
      </c>
      <c r="F215" t="s">
        <v>2170</v>
      </c>
      <c r="G215" t="s">
        <v>2171</v>
      </c>
      <c r="H215" t="s">
        <v>88</v>
      </c>
      <c r="I215">
        <v>15</v>
      </c>
    </row>
    <row r="216" spans="1:9" x14ac:dyDescent="0.45">
      <c r="A216" t="s">
        <v>1266</v>
      </c>
      <c r="B216" t="s">
        <v>122</v>
      </c>
      <c r="C216">
        <v>23</v>
      </c>
      <c r="D216" t="s">
        <v>33</v>
      </c>
      <c r="E216" t="s">
        <v>34</v>
      </c>
      <c r="F216" t="s">
        <v>2172</v>
      </c>
      <c r="G216" t="s">
        <v>88</v>
      </c>
      <c r="H216" t="s">
        <v>88</v>
      </c>
      <c r="I216">
        <v>9</v>
      </c>
    </row>
    <row r="217" spans="1:9" x14ac:dyDescent="0.45">
      <c r="A217" t="s">
        <v>1266</v>
      </c>
      <c r="B217" t="s">
        <v>163</v>
      </c>
      <c r="C217">
        <v>18</v>
      </c>
      <c r="D217" t="s">
        <v>38</v>
      </c>
      <c r="E217" t="s">
        <v>39</v>
      </c>
      <c r="F217" t="s">
        <v>2173</v>
      </c>
      <c r="G217" t="s">
        <v>88</v>
      </c>
      <c r="H217" t="s">
        <v>88</v>
      </c>
      <c r="I217">
        <v>9</v>
      </c>
    </row>
    <row r="218" spans="1:9" x14ac:dyDescent="0.45">
      <c r="A218" t="s">
        <v>1266</v>
      </c>
      <c r="B218" t="s">
        <v>166</v>
      </c>
      <c r="C218">
        <v>77</v>
      </c>
      <c r="D218" t="s">
        <v>986</v>
      </c>
      <c r="E218" t="s">
        <v>44</v>
      </c>
      <c r="F218" t="s">
        <v>2174</v>
      </c>
      <c r="G218" t="s">
        <v>88</v>
      </c>
      <c r="H218" t="s">
        <v>88</v>
      </c>
      <c r="I218">
        <v>9</v>
      </c>
    </row>
    <row r="219" spans="1:9" x14ac:dyDescent="0.45">
      <c r="A219" t="s">
        <v>1266</v>
      </c>
      <c r="B219" t="s">
        <v>169</v>
      </c>
      <c r="C219">
        <v>2</v>
      </c>
      <c r="D219" t="s">
        <v>988</v>
      </c>
      <c r="E219" t="s">
        <v>34</v>
      </c>
      <c r="F219" t="s">
        <v>2175</v>
      </c>
      <c r="G219" t="s">
        <v>88</v>
      </c>
      <c r="H219" t="s">
        <v>88</v>
      </c>
      <c r="I219">
        <v>9</v>
      </c>
    </row>
    <row r="220" spans="1:9" x14ac:dyDescent="0.45">
      <c r="A220" t="s">
        <v>1266</v>
      </c>
      <c r="B220" t="s">
        <v>172</v>
      </c>
      <c r="C220">
        <v>24</v>
      </c>
      <c r="D220" t="s">
        <v>974</v>
      </c>
      <c r="E220" t="s">
        <v>44</v>
      </c>
      <c r="F220" t="s">
        <v>2176</v>
      </c>
      <c r="G220" t="s">
        <v>88</v>
      </c>
      <c r="H220" t="s">
        <v>88</v>
      </c>
      <c r="I220">
        <v>9</v>
      </c>
    </row>
    <row r="221" spans="1:9" x14ac:dyDescent="0.45">
      <c r="A221" t="s">
        <v>1300</v>
      </c>
      <c r="B221" t="s">
        <v>12</v>
      </c>
      <c r="C221">
        <v>63</v>
      </c>
      <c r="D221" t="s">
        <v>24</v>
      </c>
      <c r="E221" t="s">
        <v>25</v>
      </c>
      <c r="F221" t="s">
        <v>2177</v>
      </c>
      <c r="G221" t="s">
        <v>2178</v>
      </c>
      <c r="H221" t="s">
        <v>2179</v>
      </c>
      <c r="I221">
        <v>26</v>
      </c>
    </row>
    <row r="222" spans="1:9" x14ac:dyDescent="0.45">
      <c r="A222" t="s">
        <v>1300</v>
      </c>
      <c r="B222" t="s">
        <v>18</v>
      </c>
      <c r="C222">
        <v>44</v>
      </c>
      <c r="D222" t="s">
        <v>57</v>
      </c>
      <c r="E222" t="s">
        <v>25</v>
      </c>
      <c r="F222" t="s">
        <v>2180</v>
      </c>
      <c r="G222" t="s">
        <v>2181</v>
      </c>
      <c r="H222" t="s">
        <v>2182</v>
      </c>
      <c r="I222">
        <v>25</v>
      </c>
    </row>
    <row r="223" spans="1:9" x14ac:dyDescent="0.45">
      <c r="A223" t="s">
        <v>1300</v>
      </c>
      <c r="B223" t="s">
        <v>23</v>
      </c>
      <c r="C223">
        <v>4</v>
      </c>
      <c r="D223" t="s">
        <v>13</v>
      </c>
      <c r="E223" t="s">
        <v>14</v>
      </c>
      <c r="F223" t="s">
        <v>2183</v>
      </c>
      <c r="G223" t="s">
        <v>2184</v>
      </c>
      <c r="H223" t="s">
        <v>2185</v>
      </c>
      <c r="I223">
        <v>22</v>
      </c>
    </row>
    <row r="224" spans="1:9" x14ac:dyDescent="0.45">
      <c r="A224" t="s">
        <v>1300</v>
      </c>
      <c r="B224" t="s">
        <v>28</v>
      </c>
      <c r="C224">
        <v>1</v>
      </c>
      <c r="D224" t="s">
        <v>19</v>
      </c>
      <c r="E224" t="s">
        <v>20</v>
      </c>
      <c r="F224" t="s">
        <v>2186</v>
      </c>
      <c r="G224" t="s">
        <v>2187</v>
      </c>
      <c r="H224" t="s">
        <v>2188</v>
      </c>
      <c r="I224">
        <v>24</v>
      </c>
    </row>
    <row r="225" spans="1:9" x14ac:dyDescent="0.45">
      <c r="A225" t="s">
        <v>1300</v>
      </c>
      <c r="B225" t="s">
        <v>32</v>
      </c>
      <c r="C225">
        <v>81</v>
      </c>
      <c r="D225" t="s">
        <v>53</v>
      </c>
      <c r="E225" t="s">
        <v>14</v>
      </c>
      <c r="F225" t="s">
        <v>2189</v>
      </c>
      <c r="G225" t="s">
        <v>2190</v>
      </c>
      <c r="H225" t="s">
        <v>2191</v>
      </c>
      <c r="I225">
        <v>24</v>
      </c>
    </row>
    <row r="226" spans="1:9" x14ac:dyDescent="0.45">
      <c r="A226" t="s">
        <v>1300</v>
      </c>
      <c r="B226" t="s">
        <v>37</v>
      </c>
      <c r="C226">
        <v>27</v>
      </c>
      <c r="D226" t="s">
        <v>43</v>
      </c>
      <c r="E226" t="s">
        <v>72</v>
      </c>
      <c r="F226" t="s">
        <v>2192</v>
      </c>
      <c r="G226" t="s">
        <v>617</v>
      </c>
      <c r="H226" t="s">
        <v>2193</v>
      </c>
      <c r="I226">
        <v>17</v>
      </c>
    </row>
    <row r="227" spans="1:9" x14ac:dyDescent="0.45">
      <c r="A227" t="s">
        <v>1300</v>
      </c>
      <c r="B227" t="s">
        <v>42</v>
      </c>
      <c r="C227">
        <v>55</v>
      </c>
      <c r="D227" t="s">
        <v>87</v>
      </c>
      <c r="E227" t="s">
        <v>49</v>
      </c>
      <c r="F227" t="s">
        <v>2194</v>
      </c>
      <c r="G227" t="s">
        <v>2195</v>
      </c>
      <c r="H227" t="s">
        <v>2196</v>
      </c>
      <c r="I227">
        <v>24</v>
      </c>
    </row>
    <row r="228" spans="1:9" x14ac:dyDescent="0.45">
      <c r="A228" t="s">
        <v>1300</v>
      </c>
      <c r="B228" t="s">
        <v>47</v>
      </c>
      <c r="C228">
        <v>18</v>
      </c>
      <c r="D228" t="s">
        <v>38</v>
      </c>
      <c r="E228" t="s">
        <v>39</v>
      </c>
      <c r="F228" t="s">
        <v>2197</v>
      </c>
      <c r="G228" t="s">
        <v>2198</v>
      </c>
      <c r="H228" t="s">
        <v>2199</v>
      </c>
      <c r="I228">
        <v>24</v>
      </c>
    </row>
    <row r="229" spans="1:9" x14ac:dyDescent="0.45">
      <c r="A229" t="s">
        <v>1300</v>
      </c>
      <c r="B229" t="s">
        <v>52</v>
      </c>
      <c r="C229">
        <v>23</v>
      </c>
      <c r="D229" t="s">
        <v>33</v>
      </c>
      <c r="E229" t="s">
        <v>34</v>
      </c>
      <c r="F229" t="s">
        <v>2200</v>
      </c>
      <c r="G229" t="s">
        <v>2201</v>
      </c>
      <c r="H229" t="s">
        <v>2202</v>
      </c>
      <c r="I229">
        <v>23</v>
      </c>
    </row>
    <row r="230" spans="1:9" x14ac:dyDescent="0.45">
      <c r="A230" t="s">
        <v>1300</v>
      </c>
      <c r="B230" t="s">
        <v>56</v>
      </c>
      <c r="C230">
        <v>14</v>
      </c>
      <c r="D230" t="s">
        <v>85</v>
      </c>
      <c r="E230" t="s">
        <v>39</v>
      </c>
      <c r="F230" t="s">
        <v>2203</v>
      </c>
      <c r="G230" t="s">
        <v>2204</v>
      </c>
      <c r="H230" t="s">
        <v>2205</v>
      </c>
      <c r="I230">
        <v>24</v>
      </c>
    </row>
    <row r="231" spans="1:9" x14ac:dyDescent="0.45">
      <c r="A231" t="s">
        <v>1300</v>
      </c>
      <c r="B231" t="s">
        <v>60</v>
      </c>
      <c r="C231">
        <v>16</v>
      </c>
      <c r="D231" t="s">
        <v>48</v>
      </c>
      <c r="E231" t="s">
        <v>49</v>
      </c>
      <c r="F231" t="s">
        <v>2206</v>
      </c>
      <c r="G231" t="s">
        <v>2207</v>
      </c>
      <c r="H231" t="s">
        <v>88</v>
      </c>
      <c r="I231">
        <v>18</v>
      </c>
    </row>
    <row r="232" spans="1:9" x14ac:dyDescent="0.45">
      <c r="A232" t="s">
        <v>1300</v>
      </c>
      <c r="B232" t="s">
        <v>65</v>
      </c>
      <c r="C232">
        <v>2</v>
      </c>
      <c r="D232" t="s">
        <v>988</v>
      </c>
      <c r="E232" t="s">
        <v>34</v>
      </c>
      <c r="F232" t="s">
        <v>2208</v>
      </c>
      <c r="G232" t="s">
        <v>2209</v>
      </c>
      <c r="H232" t="s">
        <v>88</v>
      </c>
      <c r="I232">
        <v>20</v>
      </c>
    </row>
    <row r="233" spans="1:9" x14ac:dyDescent="0.45">
      <c r="A233" t="s">
        <v>1300</v>
      </c>
      <c r="B233" t="s">
        <v>70</v>
      </c>
      <c r="C233">
        <v>22</v>
      </c>
      <c r="D233" t="s">
        <v>66</v>
      </c>
      <c r="E233" t="s">
        <v>979</v>
      </c>
      <c r="F233" t="s">
        <v>2210</v>
      </c>
      <c r="G233" t="s">
        <v>2211</v>
      </c>
      <c r="H233" t="s">
        <v>88</v>
      </c>
      <c r="I233">
        <v>17</v>
      </c>
    </row>
    <row r="234" spans="1:9" x14ac:dyDescent="0.45">
      <c r="A234" t="s">
        <v>1300</v>
      </c>
      <c r="B234" t="s">
        <v>75</v>
      </c>
      <c r="C234">
        <v>24</v>
      </c>
      <c r="D234" t="s">
        <v>974</v>
      </c>
      <c r="E234" t="s">
        <v>44</v>
      </c>
      <c r="F234" t="s">
        <v>2212</v>
      </c>
      <c r="G234" t="s">
        <v>502</v>
      </c>
      <c r="H234" t="s">
        <v>88</v>
      </c>
      <c r="I234">
        <v>22</v>
      </c>
    </row>
    <row r="235" spans="1:9" x14ac:dyDescent="0.45">
      <c r="A235" t="s">
        <v>1300</v>
      </c>
      <c r="B235" t="s">
        <v>120</v>
      </c>
      <c r="C235">
        <v>3</v>
      </c>
      <c r="D235" t="s">
        <v>978</v>
      </c>
      <c r="E235" t="s">
        <v>979</v>
      </c>
      <c r="F235" t="s">
        <v>2213</v>
      </c>
      <c r="G235" t="s">
        <v>2214</v>
      </c>
      <c r="H235" t="s">
        <v>88</v>
      </c>
      <c r="I235">
        <v>18</v>
      </c>
    </row>
    <row r="236" spans="1:9" x14ac:dyDescent="0.45">
      <c r="A236" t="s">
        <v>1300</v>
      </c>
      <c r="B236" t="s">
        <v>122</v>
      </c>
      <c r="C236">
        <v>77</v>
      </c>
      <c r="D236" t="s">
        <v>986</v>
      </c>
      <c r="E236" t="s">
        <v>44</v>
      </c>
      <c r="F236" t="s">
        <v>2215</v>
      </c>
      <c r="G236" t="s">
        <v>88</v>
      </c>
      <c r="H236" t="s">
        <v>88</v>
      </c>
      <c r="I236">
        <v>11</v>
      </c>
    </row>
    <row r="237" spans="1:9" x14ac:dyDescent="0.45">
      <c r="A237" t="s">
        <v>1300</v>
      </c>
      <c r="B237" t="s">
        <v>163</v>
      </c>
      <c r="C237">
        <v>20</v>
      </c>
      <c r="D237" t="s">
        <v>976</v>
      </c>
      <c r="E237" t="s">
        <v>72</v>
      </c>
      <c r="F237" t="s">
        <v>2216</v>
      </c>
      <c r="G237" t="s">
        <v>88</v>
      </c>
      <c r="H237" t="s">
        <v>88</v>
      </c>
      <c r="I237">
        <v>6</v>
      </c>
    </row>
    <row r="238" spans="1:9" x14ac:dyDescent="0.45">
      <c r="A238" t="s">
        <v>1300</v>
      </c>
      <c r="B238" t="s">
        <v>166</v>
      </c>
      <c r="C238">
        <v>31</v>
      </c>
      <c r="D238" t="s">
        <v>71</v>
      </c>
      <c r="E238" t="s">
        <v>62</v>
      </c>
      <c r="F238" t="s">
        <v>2217</v>
      </c>
      <c r="G238" t="s">
        <v>88</v>
      </c>
      <c r="H238" t="s">
        <v>88</v>
      </c>
      <c r="I238">
        <v>11</v>
      </c>
    </row>
    <row r="239" spans="1:9" x14ac:dyDescent="0.45">
      <c r="A239" t="s">
        <v>1300</v>
      </c>
      <c r="B239" t="s">
        <v>169</v>
      </c>
      <c r="C239">
        <v>11</v>
      </c>
      <c r="D239" t="s">
        <v>955</v>
      </c>
      <c r="E239" t="s">
        <v>20</v>
      </c>
      <c r="F239" t="s">
        <v>2218</v>
      </c>
      <c r="G239" t="s">
        <v>88</v>
      </c>
      <c r="H239" t="s">
        <v>88</v>
      </c>
      <c r="I239">
        <v>5</v>
      </c>
    </row>
    <row r="240" spans="1:9" x14ac:dyDescent="0.45">
      <c r="A240" t="s">
        <v>1300</v>
      </c>
      <c r="B240" t="s">
        <v>172</v>
      </c>
      <c r="C240">
        <v>10</v>
      </c>
      <c r="D240" t="s">
        <v>61</v>
      </c>
      <c r="E240" t="s">
        <v>62</v>
      </c>
      <c r="F240" t="s">
        <v>2219</v>
      </c>
      <c r="G240" t="s">
        <v>88</v>
      </c>
      <c r="H240" t="s">
        <v>88</v>
      </c>
      <c r="I240">
        <v>7</v>
      </c>
    </row>
    <row r="241" spans="1:9" x14ac:dyDescent="0.45">
      <c r="A241" t="s">
        <v>1332</v>
      </c>
      <c r="B241" t="s">
        <v>12</v>
      </c>
      <c r="C241">
        <v>4</v>
      </c>
      <c r="D241" t="s">
        <v>13</v>
      </c>
      <c r="E241" t="s">
        <v>14</v>
      </c>
      <c r="F241" t="s">
        <v>2220</v>
      </c>
      <c r="G241" t="s">
        <v>2221</v>
      </c>
      <c r="H241" t="s">
        <v>2222</v>
      </c>
      <c r="I241">
        <v>22</v>
      </c>
    </row>
    <row r="242" spans="1:9" x14ac:dyDescent="0.45">
      <c r="A242" t="s">
        <v>1332</v>
      </c>
      <c r="B242" t="s">
        <v>18</v>
      </c>
      <c r="C242">
        <v>81</v>
      </c>
      <c r="D242" t="s">
        <v>53</v>
      </c>
      <c r="E242" t="s">
        <v>14</v>
      </c>
      <c r="F242" t="s">
        <v>2223</v>
      </c>
      <c r="G242" t="s">
        <v>2224</v>
      </c>
      <c r="H242" t="s">
        <v>2225</v>
      </c>
      <c r="I242">
        <v>21</v>
      </c>
    </row>
    <row r="243" spans="1:9" x14ac:dyDescent="0.45">
      <c r="A243" t="s">
        <v>1332</v>
      </c>
      <c r="B243" t="s">
        <v>23</v>
      </c>
      <c r="C243">
        <v>1</v>
      </c>
      <c r="D243" t="s">
        <v>19</v>
      </c>
      <c r="E243" t="s">
        <v>20</v>
      </c>
      <c r="F243" t="s">
        <v>2226</v>
      </c>
      <c r="G243" t="s">
        <v>2227</v>
      </c>
      <c r="H243" t="s">
        <v>2228</v>
      </c>
      <c r="I243">
        <v>21</v>
      </c>
    </row>
    <row r="244" spans="1:9" x14ac:dyDescent="0.45">
      <c r="A244" t="s">
        <v>1332</v>
      </c>
      <c r="B244" t="s">
        <v>28</v>
      </c>
      <c r="C244">
        <v>55</v>
      </c>
      <c r="D244" t="s">
        <v>87</v>
      </c>
      <c r="E244" t="s">
        <v>49</v>
      </c>
      <c r="F244" t="s">
        <v>353</v>
      </c>
      <c r="G244" t="s">
        <v>2229</v>
      </c>
      <c r="H244" t="s">
        <v>2230</v>
      </c>
      <c r="I244">
        <v>26</v>
      </c>
    </row>
    <row r="245" spans="1:9" x14ac:dyDescent="0.45">
      <c r="A245" t="s">
        <v>1332</v>
      </c>
      <c r="B245" t="s">
        <v>32</v>
      </c>
      <c r="C245">
        <v>44</v>
      </c>
      <c r="D245" t="s">
        <v>57</v>
      </c>
      <c r="E245" t="s">
        <v>25</v>
      </c>
      <c r="F245" t="s">
        <v>2226</v>
      </c>
      <c r="G245" t="s">
        <v>2231</v>
      </c>
      <c r="H245" t="s">
        <v>2232</v>
      </c>
      <c r="I245">
        <v>24</v>
      </c>
    </row>
    <row r="246" spans="1:9" x14ac:dyDescent="0.45">
      <c r="A246" t="s">
        <v>1332</v>
      </c>
      <c r="B246" t="s">
        <v>37</v>
      </c>
      <c r="C246">
        <v>16</v>
      </c>
      <c r="D246" t="s">
        <v>48</v>
      </c>
      <c r="E246" t="s">
        <v>49</v>
      </c>
      <c r="F246" t="s">
        <v>2233</v>
      </c>
      <c r="G246" t="s">
        <v>2234</v>
      </c>
      <c r="H246" t="s">
        <v>2235</v>
      </c>
      <c r="I246">
        <v>22</v>
      </c>
    </row>
    <row r="247" spans="1:9" x14ac:dyDescent="0.45">
      <c r="A247" t="s">
        <v>1332</v>
      </c>
      <c r="B247" t="s">
        <v>42</v>
      </c>
      <c r="C247">
        <v>14</v>
      </c>
      <c r="D247" t="s">
        <v>85</v>
      </c>
      <c r="E247" t="s">
        <v>39</v>
      </c>
      <c r="F247" t="s">
        <v>2236</v>
      </c>
      <c r="G247" t="s">
        <v>2237</v>
      </c>
      <c r="H247" t="s">
        <v>2238</v>
      </c>
      <c r="I247">
        <v>18</v>
      </c>
    </row>
    <row r="248" spans="1:9" x14ac:dyDescent="0.45">
      <c r="A248" t="s">
        <v>1332</v>
      </c>
      <c r="B248" t="s">
        <v>47</v>
      </c>
      <c r="C248">
        <v>18</v>
      </c>
      <c r="D248" t="s">
        <v>38</v>
      </c>
      <c r="E248" t="s">
        <v>39</v>
      </c>
      <c r="F248" t="s">
        <v>2239</v>
      </c>
      <c r="G248" t="s">
        <v>2240</v>
      </c>
      <c r="H248" t="s">
        <v>2241</v>
      </c>
      <c r="I248">
        <v>22</v>
      </c>
    </row>
    <row r="249" spans="1:9" x14ac:dyDescent="0.45">
      <c r="A249" t="s">
        <v>1332</v>
      </c>
      <c r="B249" t="s">
        <v>52</v>
      </c>
      <c r="C249">
        <v>3</v>
      </c>
      <c r="D249" t="s">
        <v>978</v>
      </c>
      <c r="E249" t="s">
        <v>979</v>
      </c>
      <c r="F249" t="s">
        <v>2242</v>
      </c>
      <c r="G249" t="s">
        <v>2243</v>
      </c>
      <c r="H249" t="s">
        <v>2244</v>
      </c>
      <c r="I249">
        <v>20</v>
      </c>
    </row>
    <row r="250" spans="1:9" x14ac:dyDescent="0.45">
      <c r="A250" t="s">
        <v>1332</v>
      </c>
      <c r="B250" t="s">
        <v>56</v>
      </c>
      <c r="C250">
        <v>22</v>
      </c>
      <c r="D250" t="s">
        <v>66</v>
      </c>
      <c r="E250" t="s">
        <v>979</v>
      </c>
      <c r="F250" t="s">
        <v>2245</v>
      </c>
      <c r="G250" t="s">
        <v>2246</v>
      </c>
      <c r="H250" t="s">
        <v>2247</v>
      </c>
      <c r="I250">
        <v>20</v>
      </c>
    </row>
    <row r="251" spans="1:9" x14ac:dyDescent="0.45">
      <c r="A251" t="s">
        <v>1332</v>
      </c>
      <c r="B251" t="s">
        <v>60</v>
      </c>
      <c r="C251">
        <v>27</v>
      </c>
      <c r="D251" t="s">
        <v>43</v>
      </c>
      <c r="E251" t="s">
        <v>72</v>
      </c>
      <c r="F251" t="s">
        <v>2248</v>
      </c>
      <c r="G251" t="s">
        <v>2249</v>
      </c>
      <c r="H251" t="s">
        <v>88</v>
      </c>
      <c r="I251">
        <v>16</v>
      </c>
    </row>
    <row r="252" spans="1:9" x14ac:dyDescent="0.45">
      <c r="A252" t="s">
        <v>1332</v>
      </c>
      <c r="B252" t="s">
        <v>65</v>
      </c>
      <c r="C252">
        <v>77</v>
      </c>
      <c r="D252" t="s">
        <v>986</v>
      </c>
      <c r="E252" t="s">
        <v>44</v>
      </c>
      <c r="F252" t="s">
        <v>2250</v>
      </c>
      <c r="G252" t="s">
        <v>2251</v>
      </c>
      <c r="H252" t="s">
        <v>88</v>
      </c>
      <c r="I252">
        <v>19</v>
      </c>
    </row>
    <row r="253" spans="1:9" x14ac:dyDescent="0.45">
      <c r="A253" t="s">
        <v>1332</v>
      </c>
      <c r="B253" t="s">
        <v>70</v>
      </c>
      <c r="C253">
        <v>23</v>
      </c>
      <c r="D253" t="s">
        <v>33</v>
      </c>
      <c r="E253" t="s">
        <v>34</v>
      </c>
      <c r="F253" t="s">
        <v>2252</v>
      </c>
      <c r="G253" t="s">
        <v>2253</v>
      </c>
      <c r="H253" t="s">
        <v>88</v>
      </c>
      <c r="I253">
        <v>16</v>
      </c>
    </row>
    <row r="254" spans="1:9" x14ac:dyDescent="0.45">
      <c r="A254" t="s">
        <v>1332</v>
      </c>
      <c r="B254" t="s">
        <v>75</v>
      </c>
      <c r="C254">
        <v>2</v>
      </c>
      <c r="D254" t="s">
        <v>988</v>
      </c>
      <c r="E254" t="s">
        <v>34</v>
      </c>
      <c r="F254" t="s">
        <v>359</v>
      </c>
      <c r="G254" t="s">
        <v>2254</v>
      </c>
      <c r="H254" t="s">
        <v>88</v>
      </c>
      <c r="I254">
        <v>13</v>
      </c>
    </row>
    <row r="255" spans="1:9" x14ac:dyDescent="0.45">
      <c r="A255" t="s">
        <v>1332</v>
      </c>
      <c r="B255" t="s">
        <v>120</v>
      </c>
      <c r="C255">
        <v>20</v>
      </c>
      <c r="D255" t="s">
        <v>976</v>
      </c>
      <c r="E255" t="s">
        <v>72</v>
      </c>
      <c r="F255" t="s">
        <v>2255</v>
      </c>
      <c r="G255" t="s">
        <v>2256</v>
      </c>
      <c r="H255" t="s">
        <v>88</v>
      </c>
      <c r="I255">
        <v>15</v>
      </c>
    </row>
    <row r="256" spans="1:9" x14ac:dyDescent="0.45">
      <c r="A256" t="s">
        <v>1332</v>
      </c>
      <c r="B256" t="s">
        <v>122</v>
      </c>
      <c r="C256">
        <v>11</v>
      </c>
      <c r="D256" t="s">
        <v>955</v>
      </c>
      <c r="E256" t="s">
        <v>20</v>
      </c>
      <c r="F256" t="s">
        <v>2257</v>
      </c>
      <c r="G256" t="s">
        <v>88</v>
      </c>
      <c r="H256" t="s">
        <v>88</v>
      </c>
      <c r="I256">
        <v>6</v>
      </c>
    </row>
    <row r="257" spans="1:9" x14ac:dyDescent="0.45">
      <c r="A257" t="s">
        <v>1332</v>
      </c>
      <c r="B257" t="s">
        <v>163</v>
      </c>
      <c r="C257">
        <v>63</v>
      </c>
      <c r="D257" t="s">
        <v>24</v>
      </c>
      <c r="E257" t="s">
        <v>25</v>
      </c>
      <c r="F257" t="s">
        <v>2258</v>
      </c>
      <c r="G257" t="s">
        <v>88</v>
      </c>
      <c r="H257" t="s">
        <v>88</v>
      </c>
      <c r="I257">
        <v>9</v>
      </c>
    </row>
    <row r="258" spans="1:9" x14ac:dyDescent="0.45">
      <c r="A258" t="s">
        <v>1332</v>
      </c>
      <c r="B258" t="s">
        <v>166</v>
      </c>
      <c r="C258">
        <v>24</v>
      </c>
      <c r="D258" t="s">
        <v>974</v>
      </c>
      <c r="E258" t="s">
        <v>44</v>
      </c>
      <c r="F258" t="s">
        <v>2259</v>
      </c>
      <c r="G258" t="s">
        <v>88</v>
      </c>
      <c r="H258" t="s">
        <v>88</v>
      </c>
      <c r="I258">
        <v>12</v>
      </c>
    </row>
    <row r="259" spans="1:9" x14ac:dyDescent="0.45">
      <c r="A259" t="s">
        <v>1332</v>
      </c>
      <c r="B259" t="s">
        <v>169</v>
      </c>
      <c r="C259">
        <v>31</v>
      </c>
      <c r="D259" t="s">
        <v>71</v>
      </c>
      <c r="E259" t="s">
        <v>62</v>
      </c>
      <c r="F259" t="s">
        <v>2260</v>
      </c>
      <c r="G259" t="s">
        <v>88</v>
      </c>
      <c r="H259" t="s">
        <v>88</v>
      </c>
      <c r="I259">
        <v>6</v>
      </c>
    </row>
    <row r="260" spans="1:9" x14ac:dyDescent="0.45">
      <c r="A260" t="s">
        <v>1332</v>
      </c>
      <c r="B260" t="s">
        <v>172</v>
      </c>
      <c r="C260">
        <v>10</v>
      </c>
      <c r="D260" t="s">
        <v>61</v>
      </c>
      <c r="E260" t="s">
        <v>62</v>
      </c>
      <c r="F260" t="s">
        <v>2261</v>
      </c>
      <c r="G260" t="s">
        <v>88</v>
      </c>
      <c r="H260" t="s">
        <v>88</v>
      </c>
      <c r="I260">
        <v>6</v>
      </c>
    </row>
    <row r="261" spans="1:9" x14ac:dyDescent="0.45">
      <c r="A261" t="s">
        <v>1364</v>
      </c>
      <c r="B261" t="s">
        <v>12</v>
      </c>
      <c r="C261">
        <v>1</v>
      </c>
      <c r="D261" t="s">
        <v>19</v>
      </c>
      <c r="E261" t="s">
        <v>20</v>
      </c>
      <c r="F261" t="s">
        <v>2262</v>
      </c>
      <c r="G261" t="s">
        <v>2263</v>
      </c>
      <c r="H261" t="s">
        <v>2264</v>
      </c>
      <c r="I261">
        <v>21</v>
      </c>
    </row>
    <row r="262" spans="1:9" x14ac:dyDescent="0.45">
      <c r="A262" t="s">
        <v>1364</v>
      </c>
      <c r="B262" t="s">
        <v>18</v>
      </c>
      <c r="C262">
        <v>16</v>
      </c>
      <c r="D262" t="s">
        <v>48</v>
      </c>
      <c r="E262" t="s">
        <v>49</v>
      </c>
      <c r="F262" t="s">
        <v>2265</v>
      </c>
      <c r="G262" t="s">
        <v>2266</v>
      </c>
      <c r="H262" t="s">
        <v>2267</v>
      </c>
      <c r="I262">
        <v>22</v>
      </c>
    </row>
    <row r="263" spans="1:9" x14ac:dyDescent="0.45">
      <c r="A263" t="s">
        <v>1364</v>
      </c>
      <c r="B263" t="s">
        <v>23</v>
      </c>
      <c r="C263">
        <v>11</v>
      </c>
      <c r="D263" t="s">
        <v>955</v>
      </c>
      <c r="E263" t="s">
        <v>20</v>
      </c>
      <c r="F263" t="s">
        <v>2268</v>
      </c>
      <c r="G263" t="s">
        <v>2269</v>
      </c>
      <c r="H263" t="s">
        <v>2270</v>
      </c>
      <c r="I263">
        <v>21</v>
      </c>
    </row>
    <row r="264" spans="1:9" x14ac:dyDescent="0.45">
      <c r="A264" t="s">
        <v>1364</v>
      </c>
      <c r="B264" t="s">
        <v>28</v>
      </c>
      <c r="C264">
        <v>44</v>
      </c>
      <c r="D264" t="s">
        <v>57</v>
      </c>
      <c r="E264" t="s">
        <v>25</v>
      </c>
      <c r="F264" t="s">
        <v>2271</v>
      </c>
      <c r="G264" t="s">
        <v>2272</v>
      </c>
      <c r="H264" t="s">
        <v>2273</v>
      </c>
      <c r="I264">
        <v>22</v>
      </c>
    </row>
    <row r="265" spans="1:9" x14ac:dyDescent="0.45">
      <c r="A265" t="s">
        <v>1364</v>
      </c>
      <c r="B265" t="s">
        <v>32</v>
      </c>
      <c r="C265">
        <v>4</v>
      </c>
      <c r="D265" t="s">
        <v>13</v>
      </c>
      <c r="E265" t="s">
        <v>14</v>
      </c>
      <c r="F265" t="s">
        <v>2274</v>
      </c>
      <c r="G265" t="s">
        <v>2275</v>
      </c>
      <c r="H265" t="s">
        <v>2276</v>
      </c>
      <c r="I265">
        <v>24</v>
      </c>
    </row>
    <row r="266" spans="1:9" x14ac:dyDescent="0.45">
      <c r="A266" t="s">
        <v>1364</v>
      </c>
      <c r="B266" t="s">
        <v>37</v>
      </c>
      <c r="C266">
        <v>81</v>
      </c>
      <c r="D266" t="s">
        <v>53</v>
      </c>
      <c r="E266" t="s">
        <v>14</v>
      </c>
      <c r="F266" t="s">
        <v>2277</v>
      </c>
      <c r="G266" t="s">
        <v>2278</v>
      </c>
      <c r="H266" t="s">
        <v>2279</v>
      </c>
      <c r="I266">
        <v>23</v>
      </c>
    </row>
    <row r="267" spans="1:9" x14ac:dyDescent="0.45">
      <c r="A267" t="s">
        <v>1364</v>
      </c>
      <c r="B267" t="s">
        <v>42</v>
      </c>
      <c r="C267">
        <v>63</v>
      </c>
      <c r="D267" t="s">
        <v>24</v>
      </c>
      <c r="E267" t="s">
        <v>25</v>
      </c>
      <c r="F267" t="s">
        <v>2280</v>
      </c>
      <c r="G267" t="s">
        <v>2281</v>
      </c>
      <c r="H267" t="s">
        <v>2282</v>
      </c>
      <c r="I267">
        <v>22</v>
      </c>
    </row>
    <row r="268" spans="1:9" x14ac:dyDescent="0.45">
      <c r="A268" t="s">
        <v>1364</v>
      </c>
      <c r="B268" t="s">
        <v>47</v>
      </c>
      <c r="C268">
        <v>55</v>
      </c>
      <c r="D268" t="s">
        <v>87</v>
      </c>
      <c r="E268" t="s">
        <v>49</v>
      </c>
      <c r="F268" t="s">
        <v>2283</v>
      </c>
      <c r="G268" t="s">
        <v>2284</v>
      </c>
      <c r="H268" t="s">
        <v>2285</v>
      </c>
      <c r="I268">
        <v>23</v>
      </c>
    </row>
    <row r="269" spans="1:9" x14ac:dyDescent="0.45">
      <c r="A269" t="s">
        <v>1364</v>
      </c>
      <c r="B269" t="s">
        <v>52</v>
      </c>
      <c r="C269">
        <v>14</v>
      </c>
      <c r="D269" t="s">
        <v>85</v>
      </c>
      <c r="E269" t="s">
        <v>39</v>
      </c>
      <c r="F269" t="s">
        <v>2286</v>
      </c>
      <c r="G269" t="s">
        <v>2287</v>
      </c>
      <c r="H269" t="s">
        <v>2288</v>
      </c>
      <c r="I269">
        <v>23</v>
      </c>
    </row>
    <row r="270" spans="1:9" x14ac:dyDescent="0.45">
      <c r="A270" t="s">
        <v>1364</v>
      </c>
      <c r="B270" t="s">
        <v>56</v>
      </c>
      <c r="C270">
        <v>31</v>
      </c>
      <c r="D270" t="s">
        <v>71</v>
      </c>
      <c r="E270" t="s">
        <v>62</v>
      </c>
      <c r="F270" t="s">
        <v>2289</v>
      </c>
      <c r="G270" t="s">
        <v>2290</v>
      </c>
      <c r="H270" t="s">
        <v>2291</v>
      </c>
      <c r="I270">
        <v>23</v>
      </c>
    </row>
    <row r="271" spans="1:9" x14ac:dyDescent="0.45">
      <c r="A271" t="s">
        <v>1364</v>
      </c>
      <c r="B271" t="s">
        <v>60</v>
      </c>
      <c r="C271">
        <v>23</v>
      </c>
      <c r="D271" t="s">
        <v>33</v>
      </c>
      <c r="E271" t="s">
        <v>34</v>
      </c>
      <c r="F271" t="s">
        <v>2292</v>
      </c>
      <c r="G271" t="s">
        <v>2293</v>
      </c>
      <c r="H271" t="s">
        <v>88</v>
      </c>
      <c r="I271">
        <v>16</v>
      </c>
    </row>
    <row r="272" spans="1:9" x14ac:dyDescent="0.45">
      <c r="A272" t="s">
        <v>1364</v>
      </c>
      <c r="B272" t="s">
        <v>65</v>
      </c>
      <c r="C272">
        <v>10</v>
      </c>
      <c r="D272" t="s">
        <v>61</v>
      </c>
      <c r="E272" t="s">
        <v>62</v>
      </c>
      <c r="F272" t="s">
        <v>2294</v>
      </c>
      <c r="G272" t="s">
        <v>2295</v>
      </c>
      <c r="H272" t="s">
        <v>88</v>
      </c>
      <c r="I272">
        <v>17</v>
      </c>
    </row>
    <row r="273" spans="1:9" x14ac:dyDescent="0.45">
      <c r="A273" t="s">
        <v>1364</v>
      </c>
      <c r="B273" t="s">
        <v>70</v>
      </c>
      <c r="C273">
        <v>3</v>
      </c>
      <c r="D273" t="s">
        <v>978</v>
      </c>
      <c r="E273" t="s">
        <v>979</v>
      </c>
      <c r="F273" t="s">
        <v>2296</v>
      </c>
      <c r="G273" t="s">
        <v>2297</v>
      </c>
      <c r="H273" t="s">
        <v>88</v>
      </c>
      <c r="I273">
        <v>14</v>
      </c>
    </row>
    <row r="274" spans="1:9" x14ac:dyDescent="0.45">
      <c r="A274" t="s">
        <v>1364</v>
      </c>
      <c r="B274" t="s">
        <v>75</v>
      </c>
      <c r="C274">
        <v>77</v>
      </c>
      <c r="D274" t="s">
        <v>986</v>
      </c>
      <c r="E274" t="s">
        <v>44</v>
      </c>
      <c r="F274" t="s">
        <v>2298</v>
      </c>
      <c r="G274" t="s">
        <v>2299</v>
      </c>
      <c r="H274" t="s">
        <v>88</v>
      </c>
      <c r="I274">
        <v>17</v>
      </c>
    </row>
    <row r="275" spans="1:9" x14ac:dyDescent="0.45">
      <c r="A275" t="s">
        <v>1364</v>
      </c>
      <c r="B275" t="s">
        <v>120</v>
      </c>
      <c r="C275">
        <v>18</v>
      </c>
      <c r="D275" t="s">
        <v>38</v>
      </c>
      <c r="E275" t="s">
        <v>39</v>
      </c>
      <c r="F275" t="s">
        <v>2300</v>
      </c>
      <c r="G275" t="s">
        <v>2301</v>
      </c>
      <c r="H275" t="s">
        <v>88</v>
      </c>
      <c r="I275">
        <v>17</v>
      </c>
    </row>
    <row r="276" spans="1:9" x14ac:dyDescent="0.45">
      <c r="A276" t="s">
        <v>1364</v>
      </c>
      <c r="B276" t="s">
        <v>122</v>
      </c>
      <c r="C276">
        <v>27</v>
      </c>
      <c r="D276" t="s">
        <v>43</v>
      </c>
      <c r="E276" t="s">
        <v>72</v>
      </c>
      <c r="F276" t="s">
        <v>2302</v>
      </c>
      <c r="G276" t="s">
        <v>88</v>
      </c>
      <c r="H276" t="s">
        <v>88</v>
      </c>
      <c r="I276">
        <v>9</v>
      </c>
    </row>
    <row r="277" spans="1:9" x14ac:dyDescent="0.45">
      <c r="A277" t="s">
        <v>1364</v>
      </c>
      <c r="B277" t="s">
        <v>163</v>
      </c>
      <c r="C277">
        <v>20</v>
      </c>
      <c r="D277" t="s">
        <v>976</v>
      </c>
      <c r="E277" t="s">
        <v>72</v>
      </c>
      <c r="F277" t="s">
        <v>2303</v>
      </c>
      <c r="G277" t="s">
        <v>88</v>
      </c>
      <c r="H277" t="s">
        <v>88</v>
      </c>
      <c r="I277">
        <v>9</v>
      </c>
    </row>
    <row r="278" spans="1:9" x14ac:dyDescent="0.45">
      <c r="A278" t="s">
        <v>1364</v>
      </c>
      <c r="B278" t="s">
        <v>166</v>
      </c>
      <c r="C278">
        <v>22</v>
      </c>
      <c r="D278" t="s">
        <v>66</v>
      </c>
      <c r="E278" t="s">
        <v>979</v>
      </c>
      <c r="F278" t="s">
        <v>2304</v>
      </c>
      <c r="G278" t="s">
        <v>88</v>
      </c>
      <c r="H278" t="s">
        <v>88</v>
      </c>
      <c r="I278">
        <v>8</v>
      </c>
    </row>
    <row r="279" spans="1:9" x14ac:dyDescent="0.45">
      <c r="A279" t="s">
        <v>1364</v>
      </c>
      <c r="B279" t="s">
        <v>169</v>
      </c>
      <c r="C279">
        <v>2</v>
      </c>
      <c r="D279" t="s">
        <v>988</v>
      </c>
      <c r="E279" t="s">
        <v>34</v>
      </c>
      <c r="F279" t="s">
        <v>2305</v>
      </c>
      <c r="G279" t="s">
        <v>88</v>
      </c>
      <c r="H279" t="s">
        <v>88</v>
      </c>
      <c r="I279">
        <v>8</v>
      </c>
    </row>
    <row r="280" spans="1:9" x14ac:dyDescent="0.45">
      <c r="A280" t="s">
        <v>1364</v>
      </c>
      <c r="B280" t="s">
        <v>172</v>
      </c>
      <c r="C280">
        <v>24</v>
      </c>
      <c r="D280" t="s">
        <v>974</v>
      </c>
      <c r="E280" t="s">
        <v>44</v>
      </c>
      <c r="F280" t="s">
        <v>2306</v>
      </c>
      <c r="G280" t="s">
        <v>88</v>
      </c>
      <c r="H280" t="s">
        <v>88</v>
      </c>
      <c r="I280">
        <v>9</v>
      </c>
    </row>
    <row r="281" spans="1:9" x14ac:dyDescent="0.45">
      <c r="A281" t="s">
        <v>809</v>
      </c>
      <c r="B281" t="s">
        <v>12</v>
      </c>
      <c r="C281">
        <v>4</v>
      </c>
      <c r="D281" t="s">
        <v>13</v>
      </c>
      <c r="E281" t="s">
        <v>14</v>
      </c>
      <c r="F281" t="s">
        <v>2307</v>
      </c>
      <c r="G281" t="s">
        <v>2308</v>
      </c>
      <c r="H281" t="s">
        <v>2309</v>
      </c>
      <c r="I281">
        <v>14</v>
      </c>
    </row>
    <row r="282" spans="1:9" x14ac:dyDescent="0.45">
      <c r="A282" t="s">
        <v>809</v>
      </c>
      <c r="B282" t="s">
        <v>18</v>
      </c>
      <c r="C282">
        <v>1</v>
      </c>
      <c r="D282" t="s">
        <v>19</v>
      </c>
      <c r="E282" t="s">
        <v>20</v>
      </c>
      <c r="F282" t="s">
        <v>2310</v>
      </c>
      <c r="G282" t="s">
        <v>2311</v>
      </c>
      <c r="H282" t="s">
        <v>2312</v>
      </c>
      <c r="I282">
        <v>14</v>
      </c>
    </row>
    <row r="283" spans="1:9" x14ac:dyDescent="0.45">
      <c r="A283" t="s">
        <v>809</v>
      </c>
      <c r="B283" t="s">
        <v>23</v>
      </c>
      <c r="C283">
        <v>81</v>
      </c>
      <c r="D283" t="s">
        <v>53</v>
      </c>
      <c r="E283" t="s">
        <v>14</v>
      </c>
      <c r="F283" t="s">
        <v>2313</v>
      </c>
      <c r="G283" t="s">
        <v>2314</v>
      </c>
      <c r="H283" t="s">
        <v>2315</v>
      </c>
      <c r="I283">
        <v>16</v>
      </c>
    </row>
    <row r="284" spans="1:9" x14ac:dyDescent="0.45">
      <c r="A284" t="s">
        <v>809</v>
      </c>
      <c r="B284" t="s">
        <v>28</v>
      </c>
      <c r="C284">
        <v>63</v>
      </c>
      <c r="D284" t="s">
        <v>24</v>
      </c>
      <c r="E284" t="s">
        <v>25</v>
      </c>
      <c r="F284" t="s">
        <v>2316</v>
      </c>
      <c r="G284" t="s">
        <v>2317</v>
      </c>
      <c r="H284" t="s">
        <v>2318</v>
      </c>
      <c r="I284">
        <v>18</v>
      </c>
    </row>
    <row r="285" spans="1:9" x14ac:dyDescent="0.45">
      <c r="A285" t="s">
        <v>809</v>
      </c>
      <c r="B285" t="s">
        <v>32</v>
      </c>
      <c r="C285">
        <v>11</v>
      </c>
      <c r="D285" t="s">
        <v>955</v>
      </c>
      <c r="E285" t="s">
        <v>20</v>
      </c>
      <c r="F285" t="s">
        <v>2319</v>
      </c>
      <c r="G285" t="s">
        <v>2320</v>
      </c>
      <c r="H285" t="s">
        <v>2321</v>
      </c>
      <c r="I285">
        <v>17</v>
      </c>
    </row>
    <row r="286" spans="1:9" x14ac:dyDescent="0.45">
      <c r="A286" t="s">
        <v>809</v>
      </c>
      <c r="B286" t="s">
        <v>37</v>
      </c>
      <c r="C286">
        <v>16</v>
      </c>
      <c r="D286" t="s">
        <v>48</v>
      </c>
      <c r="E286" t="s">
        <v>49</v>
      </c>
      <c r="F286" t="s">
        <v>2322</v>
      </c>
      <c r="G286" t="s">
        <v>2323</v>
      </c>
      <c r="H286" t="s">
        <v>2324</v>
      </c>
      <c r="I286">
        <v>24</v>
      </c>
    </row>
    <row r="287" spans="1:9" x14ac:dyDescent="0.45">
      <c r="A287" t="s">
        <v>809</v>
      </c>
      <c r="B287" t="s">
        <v>42</v>
      </c>
      <c r="C287">
        <v>14</v>
      </c>
      <c r="D287" t="s">
        <v>85</v>
      </c>
      <c r="E287" t="s">
        <v>39</v>
      </c>
      <c r="F287" t="s">
        <v>2325</v>
      </c>
      <c r="G287" t="s">
        <v>2326</v>
      </c>
      <c r="H287" t="s">
        <v>2327</v>
      </c>
      <c r="I287">
        <v>16</v>
      </c>
    </row>
    <row r="288" spans="1:9" x14ac:dyDescent="0.45">
      <c r="A288" t="s">
        <v>809</v>
      </c>
      <c r="B288" t="s">
        <v>125</v>
      </c>
      <c r="C288">
        <v>23</v>
      </c>
      <c r="D288" t="s">
        <v>33</v>
      </c>
      <c r="E288" t="s">
        <v>34</v>
      </c>
      <c r="F288" t="s">
        <v>88</v>
      </c>
      <c r="G288" t="s">
        <v>88</v>
      </c>
      <c r="H288" t="s">
        <v>88</v>
      </c>
      <c r="I288">
        <v>0</v>
      </c>
    </row>
    <row r="289" spans="1:9" x14ac:dyDescent="0.45">
      <c r="A289" t="s">
        <v>809</v>
      </c>
      <c r="B289" t="s">
        <v>47</v>
      </c>
      <c r="C289">
        <v>18</v>
      </c>
      <c r="D289" t="s">
        <v>38</v>
      </c>
      <c r="E289" t="s">
        <v>39</v>
      </c>
      <c r="F289" t="s">
        <v>2328</v>
      </c>
      <c r="G289" t="s">
        <v>2329</v>
      </c>
      <c r="H289" t="s">
        <v>2330</v>
      </c>
      <c r="I289">
        <v>19</v>
      </c>
    </row>
    <row r="290" spans="1:9" x14ac:dyDescent="0.45">
      <c r="A290" t="s">
        <v>809</v>
      </c>
      <c r="B290" t="s">
        <v>52</v>
      </c>
      <c r="C290">
        <v>10</v>
      </c>
      <c r="D290" t="s">
        <v>61</v>
      </c>
      <c r="E290" t="s">
        <v>62</v>
      </c>
      <c r="F290" t="s">
        <v>2331</v>
      </c>
      <c r="G290" t="s">
        <v>2332</v>
      </c>
      <c r="H290" t="s">
        <v>2333</v>
      </c>
      <c r="I290">
        <v>20</v>
      </c>
    </row>
    <row r="291" spans="1:9" x14ac:dyDescent="0.45">
      <c r="A291" t="s">
        <v>809</v>
      </c>
      <c r="B291" t="s">
        <v>56</v>
      </c>
      <c r="C291">
        <v>55</v>
      </c>
      <c r="D291" t="s">
        <v>87</v>
      </c>
      <c r="E291" t="s">
        <v>49</v>
      </c>
      <c r="F291" t="s">
        <v>2334</v>
      </c>
      <c r="G291" t="s">
        <v>2335</v>
      </c>
      <c r="H291" t="s">
        <v>88</v>
      </c>
      <c r="I291">
        <v>18</v>
      </c>
    </row>
    <row r="292" spans="1:9" x14ac:dyDescent="0.45">
      <c r="A292" t="s">
        <v>809</v>
      </c>
      <c r="B292" t="s">
        <v>60</v>
      </c>
      <c r="C292">
        <v>44</v>
      </c>
      <c r="D292" t="s">
        <v>57</v>
      </c>
      <c r="E292" t="s">
        <v>25</v>
      </c>
      <c r="F292" t="s">
        <v>2336</v>
      </c>
      <c r="G292" t="s">
        <v>2030</v>
      </c>
      <c r="H292" t="s">
        <v>88</v>
      </c>
      <c r="I292">
        <v>13</v>
      </c>
    </row>
    <row r="293" spans="1:9" x14ac:dyDescent="0.45">
      <c r="A293" t="s">
        <v>809</v>
      </c>
      <c r="B293" t="s">
        <v>65</v>
      </c>
      <c r="C293">
        <v>22</v>
      </c>
      <c r="D293" t="s">
        <v>66</v>
      </c>
      <c r="E293" t="s">
        <v>979</v>
      </c>
      <c r="F293" t="s">
        <v>2337</v>
      </c>
      <c r="G293" t="s">
        <v>2338</v>
      </c>
      <c r="H293" t="s">
        <v>88</v>
      </c>
      <c r="I293">
        <v>15</v>
      </c>
    </row>
    <row r="294" spans="1:9" x14ac:dyDescent="0.45">
      <c r="A294" t="s">
        <v>809</v>
      </c>
      <c r="B294" t="s">
        <v>70</v>
      </c>
      <c r="C294">
        <v>27</v>
      </c>
      <c r="D294" t="s">
        <v>43</v>
      </c>
      <c r="E294" t="s">
        <v>72</v>
      </c>
      <c r="F294" t="s">
        <v>2041</v>
      </c>
      <c r="G294" t="s">
        <v>2339</v>
      </c>
      <c r="H294" t="s">
        <v>88</v>
      </c>
      <c r="I294">
        <v>17</v>
      </c>
    </row>
    <row r="295" spans="1:9" x14ac:dyDescent="0.45">
      <c r="A295" t="s">
        <v>809</v>
      </c>
      <c r="B295" t="s">
        <v>75</v>
      </c>
      <c r="C295">
        <v>20</v>
      </c>
      <c r="D295" t="s">
        <v>976</v>
      </c>
      <c r="E295" t="s">
        <v>72</v>
      </c>
      <c r="F295" t="s">
        <v>2340</v>
      </c>
      <c r="G295" t="s">
        <v>2341</v>
      </c>
      <c r="H295" t="s">
        <v>88</v>
      </c>
      <c r="I295">
        <v>15</v>
      </c>
    </row>
    <row r="296" spans="1:9" x14ac:dyDescent="0.45">
      <c r="A296" t="s">
        <v>809</v>
      </c>
      <c r="B296" t="s">
        <v>120</v>
      </c>
      <c r="C296">
        <v>3</v>
      </c>
      <c r="D296" t="s">
        <v>978</v>
      </c>
      <c r="E296" t="s">
        <v>979</v>
      </c>
      <c r="F296" t="s">
        <v>2342</v>
      </c>
      <c r="G296" t="s">
        <v>88</v>
      </c>
      <c r="H296" t="s">
        <v>88</v>
      </c>
      <c r="I296">
        <v>9</v>
      </c>
    </row>
    <row r="297" spans="1:9" x14ac:dyDescent="0.45">
      <c r="A297" t="s">
        <v>809</v>
      </c>
      <c r="B297" t="s">
        <v>122</v>
      </c>
      <c r="C297">
        <v>31</v>
      </c>
      <c r="D297" t="s">
        <v>71</v>
      </c>
      <c r="E297" t="s">
        <v>62</v>
      </c>
      <c r="F297" t="s">
        <v>2343</v>
      </c>
      <c r="G297" t="s">
        <v>88</v>
      </c>
      <c r="H297" t="s">
        <v>88</v>
      </c>
      <c r="I297">
        <v>9</v>
      </c>
    </row>
    <row r="298" spans="1:9" x14ac:dyDescent="0.45">
      <c r="A298" t="s">
        <v>809</v>
      </c>
      <c r="B298" t="s">
        <v>163</v>
      </c>
      <c r="C298">
        <v>77</v>
      </c>
      <c r="D298" t="s">
        <v>986</v>
      </c>
      <c r="E298" t="s">
        <v>44</v>
      </c>
      <c r="F298" t="s">
        <v>2344</v>
      </c>
      <c r="G298" t="s">
        <v>88</v>
      </c>
      <c r="H298" t="s">
        <v>88</v>
      </c>
      <c r="I298">
        <v>9</v>
      </c>
    </row>
    <row r="299" spans="1:9" x14ac:dyDescent="0.45">
      <c r="A299" t="s">
        <v>809</v>
      </c>
      <c r="B299" t="s">
        <v>166</v>
      </c>
      <c r="C299">
        <v>24</v>
      </c>
      <c r="D299" t="s">
        <v>974</v>
      </c>
      <c r="E299" t="s">
        <v>44</v>
      </c>
      <c r="F299" t="s">
        <v>2345</v>
      </c>
      <c r="G299" t="s">
        <v>88</v>
      </c>
      <c r="H299" t="s">
        <v>88</v>
      </c>
      <c r="I299">
        <v>9</v>
      </c>
    </row>
    <row r="300" spans="1:9" x14ac:dyDescent="0.45">
      <c r="A300" t="s">
        <v>804</v>
      </c>
      <c r="B300" t="s">
        <v>12</v>
      </c>
      <c r="C300">
        <v>4</v>
      </c>
      <c r="D300" t="s">
        <v>13</v>
      </c>
      <c r="E300" t="s">
        <v>14</v>
      </c>
      <c r="F300" t="s">
        <v>2346</v>
      </c>
      <c r="G300" t="s">
        <v>2347</v>
      </c>
      <c r="H300" t="s">
        <v>2348</v>
      </c>
      <c r="I300">
        <v>12</v>
      </c>
    </row>
    <row r="301" spans="1:9" x14ac:dyDescent="0.45">
      <c r="A301" t="s">
        <v>804</v>
      </c>
      <c r="B301" t="s">
        <v>18</v>
      </c>
      <c r="C301">
        <v>81</v>
      </c>
      <c r="D301" t="s">
        <v>53</v>
      </c>
      <c r="E301" t="s">
        <v>14</v>
      </c>
      <c r="F301" t="s">
        <v>2349</v>
      </c>
      <c r="G301" t="s">
        <v>2350</v>
      </c>
      <c r="H301" t="s">
        <v>2351</v>
      </c>
      <c r="I301">
        <v>19</v>
      </c>
    </row>
    <row r="302" spans="1:9" x14ac:dyDescent="0.45">
      <c r="A302" t="s">
        <v>804</v>
      </c>
      <c r="B302" t="s">
        <v>23</v>
      </c>
      <c r="C302">
        <v>63</v>
      </c>
      <c r="D302" t="s">
        <v>24</v>
      </c>
      <c r="E302" t="s">
        <v>25</v>
      </c>
      <c r="F302" t="s">
        <v>2352</v>
      </c>
      <c r="G302" t="s">
        <v>2353</v>
      </c>
      <c r="H302" t="s">
        <v>2354</v>
      </c>
      <c r="I302">
        <v>18</v>
      </c>
    </row>
    <row r="303" spans="1:9" x14ac:dyDescent="0.45">
      <c r="A303" t="s">
        <v>804</v>
      </c>
      <c r="B303" t="s">
        <v>28</v>
      </c>
      <c r="C303">
        <v>16</v>
      </c>
      <c r="D303" t="s">
        <v>48</v>
      </c>
      <c r="E303" t="s">
        <v>49</v>
      </c>
      <c r="F303" t="s">
        <v>2355</v>
      </c>
      <c r="G303" t="s">
        <v>2356</v>
      </c>
      <c r="H303" t="s">
        <v>2357</v>
      </c>
      <c r="I303">
        <v>21</v>
      </c>
    </row>
    <row r="304" spans="1:9" x14ac:dyDescent="0.45">
      <c r="A304" t="s">
        <v>804</v>
      </c>
      <c r="B304" t="s">
        <v>32</v>
      </c>
      <c r="C304">
        <v>55</v>
      </c>
      <c r="D304" t="s">
        <v>87</v>
      </c>
      <c r="E304" t="s">
        <v>49</v>
      </c>
      <c r="F304" t="s">
        <v>2358</v>
      </c>
      <c r="G304" t="s">
        <v>2359</v>
      </c>
      <c r="H304" t="s">
        <v>2360</v>
      </c>
      <c r="I304">
        <v>18</v>
      </c>
    </row>
    <row r="305" spans="1:9" x14ac:dyDescent="0.45">
      <c r="A305" t="s">
        <v>804</v>
      </c>
      <c r="B305" t="s">
        <v>37</v>
      </c>
      <c r="C305">
        <v>44</v>
      </c>
      <c r="D305" t="s">
        <v>57</v>
      </c>
      <c r="E305" t="s">
        <v>25</v>
      </c>
      <c r="F305" t="s">
        <v>2361</v>
      </c>
      <c r="G305" t="s">
        <v>2362</v>
      </c>
      <c r="H305" t="s">
        <v>2363</v>
      </c>
      <c r="I305">
        <v>18</v>
      </c>
    </row>
    <row r="306" spans="1:9" x14ac:dyDescent="0.45">
      <c r="A306" t="s">
        <v>804</v>
      </c>
      <c r="B306" t="s">
        <v>42</v>
      </c>
      <c r="C306">
        <v>1</v>
      </c>
      <c r="D306" t="s">
        <v>19</v>
      </c>
      <c r="E306" t="s">
        <v>20</v>
      </c>
      <c r="F306" t="s">
        <v>2364</v>
      </c>
      <c r="G306" t="s">
        <v>2365</v>
      </c>
      <c r="H306" t="s">
        <v>2366</v>
      </c>
      <c r="I306">
        <v>18</v>
      </c>
    </row>
    <row r="307" spans="1:9" x14ac:dyDescent="0.45">
      <c r="A307" t="s">
        <v>804</v>
      </c>
      <c r="B307" t="s">
        <v>47</v>
      </c>
      <c r="C307">
        <v>11</v>
      </c>
      <c r="D307" t="s">
        <v>955</v>
      </c>
      <c r="E307" t="s">
        <v>20</v>
      </c>
      <c r="F307" t="s">
        <v>2367</v>
      </c>
      <c r="G307" t="s">
        <v>2368</v>
      </c>
      <c r="H307" t="s">
        <v>2369</v>
      </c>
      <c r="I307">
        <v>17</v>
      </c>
    </row>
    <row r="308" spans="1:9" x14ac:dyDescent="0.45">
      <c r="A308" t="s">
        <v>804</v>
      </c>
      <c r="B308" t="s">
        <v>52</v>
      </c>
      <c r="C308">
        <v>23</v>
      </c>
      <c r="D308" t="s">
        <v>33</v>
      </c>
      <c r="E308" t="s">
        <v>34</v>
      </c>
      <c r="F308" t="s">
        <v>2370</v>
      </c>
      <c r="G308" t="s">
        <v>2371</v>
      </c>
      <c r="H308" t="s">
        <v>2372</v>
      </c>
      <c r="I308">
        <v>18</v>
      </c>
    </row>
    <row r="309" spans="1:9" x14ac:dyDescent="0.45">
      <c r="A309" t="s">
        <v>804</v>
      </c>
      <c r="B309" t="s">
        <v>56</v>
      </c>
      <c r="C309">
        <v>27</v>
      </c>
      <c r="D309" t="s">
        <v>43</v>
      </c>
      <c r="E309" t="s">
        <v>72</v>
      </c>
      <c r="F309" t="s">
        <v>2373</v>
      </c>
      <c r="G309" t="s">
        <v>2374</v>
      </c>
      <c r="H309" t="s">
        <v>2375</v>
      </c>
      <c r="I309">
        <v>18</v>
      </c>
    </row>
    <row r="310" spans="1:9" x14ac:dyDescent="0.45">
      <c r="A310" t="s">
        <v>804</v>
      </c>
      <c r="B310" t="s">
        <v>60</v>
      </c>
      <c r="C310">
        <v>14</v>
      </c>
      <c r="D310" t="s">
        <v>85</v>
      </c>
      <c r="E310" t="s">
        <v>39</v>
      </c>
      <c r="F310" t="s">
        <v>2376</v>
      </c>
      <c r="G310" t="s">
        <v>2377</v>
      </c>
      <c r="H310" t="s">
        <v>88</v>
      </c>
      <c r="I310">
        <v>11</v>
      </c>
    </row>
    <row r="311" spans="1:9" x14ac:dyDescent="0.45">
      <c r="A311" t="s">
        <v>804</v>
      </c>
      <c r="B311" t="s">
        <v>65</v>
      </c>
      <c r="C311">
        <v>3</v>
      </c>
      <c r="D311" t="s">
        <v>978</v>
      </c>
      <c r="E311" t="s">
        <v>979</v>
      </c>
      <c r="F311" t="s">
        <v>2378</v>
      </c>
      <c r="G311" t="s">
        <v>2379</v>
      </c>
      <c r="H311" t="s">
        <v>88</v>
      </c>
      <c r="I311">
        <v>12</v>
      </c>
    </row>
    <row r="312" spans="1:9" x14ac:dyDescent="0.45">
      <c r="A312" t="s">
        <v>804</v>
      </c>
      <c r="B312" t="s">
        <v>70</v>
      </c>
      <c r="C312">
        <v>20</v>
      </c>
      <c r="D312" t="s">
        <v>976</v>
      </c>
      <c r="E312" t="s">
        <v>72</v>
      </c>
      <c r="F312" t="s">
        <v>2380</v>
      </c>
      <c r="G312" t="s">
        <v>2381</v>
      </c>
      <c r="H312" t="s">
        <v>88</v>
      </c>
      <c r="I312">
        <v>11</v>
      </c>
    </row>
    <row r="313" spans="1:9" x14ac:dyDescent="0.45">
      <c r="A313" t="s">
        <v>804</v>
      </c>
      <c r="B313" t="s">
        <v>75</v>
      </c>
      <c r="C313">
        <v>10</v>
      </c>
      <c r="D313" t="s">
        <v>61</v>
      </c>
      <c r="E313" t="s">
        <v>62</v>
      </c>
      <c r="F313" t="s">
        <v>1575</v>
      </c>
      <c r="G313" t="s">
        <v>2382</v>
      </c>
      <c r="H313" t="s">
        <v>88</v>
      </c>
      <c r="I313">
        <v>16</v>
      </c>
    </row>
    <row r="314" spans="1:9" x14ac:dyDescent="0.45">
      <c r="A314" t="s">
        <v>804</v>
      </c>
      <c r="B314" t="s">
        <v>120</v>
      </c>
      <c r="C314">
        <v>31</v>
      </c>
      <c r="D314" t="s">
        <v>71</v>
      </c>
      <c r="E314" t="s">
        <v>62</v>
      </c>
      <c r="F314" t="s">
        <v>2383</v>
      </c>
      <c r="G314" t="s">
        <v>2384</v>
      </c>
      <c r="H314" t="s">
        <v>88</v>
      </c>
      <c r="I314">
        <v>16</v>
      </c>
    </row>
    <row r="315" spans="1:9" x14ac:dyDescent="0.45">
      <c r="A315" t="s">
        <v>804</v>
      </c>
      <c r="B315" t="s">
        <v>122</v>
      </c>
      <c r="C315">
        <v>22</v>
      </c>
      <c r="D315" t="s">
        <v>66</v>
      </c>
      <c r="E315" t="s">
        <v>979</v>
      </c>
      <c r="F315" t="s">
        <v>2385</v>
      </c>
      <c r="G315" t="s">
        <v>88</v>
      </c>
      <c r="H315" t="s">
        <v>88</v>
      </c>
      <c r="I315">
        <v>6</v>
      </c>
    </row>
    <row r="316" spans="1:9" x14ac:dyDescent="0.45">
      <c r="A316" t="s">
        <v>804</v>
      </c>
      <c r="B316" t="s">
        <v>163</v>
      </c>
      <c r="C316">
        <v>18</v>
      </c>
      <c r="D316" t="s">
        <v>38</v>
      </c>
      <c r="E316" t="s">
        <v>39</v>
      </c>
      <c r="F316" t="s">
        <v>2386</v>
      </c>
      <c r="G316" t="s">
        <v>88</v>
      </c>
      <c r="H316" t="s">
        <v>88</v>
      </c>
      <c r="I316">
        <v>6</v>
      </c>
    </row>
    <row r="317" spans="1:9" x14ac:dyDescent="0.45">
      <c r="A317" t="s">
        <v>804</v>
      </c>
      <c r="B317" t="s">
        <v>166</v>
      </c>
      <c r="C317">
        <v>43</v>
      </c>
      <c r="D317" t="s">
        <v>308</v>
      </c>
      <c r="E317" t="s">
        <v>34</v>
      </c>
      <c r="F317" t="s">
        <v>2387</v>
      </c>
      <c r="G317" t="s">
        <v>88</v>
      </c>
      <c r="H317" t="s">
        <v>88</v>
      </c>
      <c r="I317">
        <v>6</v>
      </c>
    </row>
    <row r="318" spans="1:9" x14ac:dyDescent="0.45">
      <c r="A318" t="s">
        <v>804</v>
      </c>
      <c r="B318" t="s">
        <v>169</v>
      </c>
      <c r="C318">
        <v>77</v>
      </c>
      <c r="D318" t="s">
        <v>986</v>
      </c>
      <c r="E318" t="s">
        <v>44</v>
      </c>
      <c r="F318" t="s">
        <v>2388</v>
      </c>
      <c r="G318" t="s">
        <v>88</v>
      </c>
      <c r="H318" t="s">
        <v>88</v>
      </c>
      <c r="I318">
        <v>6</v>
      </c>
    </row>
    <row r="319" spans="1:9" x14ac:dyDescent="0.45">
      <c r="A319" t="s">
        <v>804</v>
      </c>
      <c r="B319" t="s">
        <v>172</v>
      </c>
      <c r="C319">
        <v>24</v>
      </c>
      <c r="D319" t="s">
        <v>974</v>
      </c>
      <c r="E319" t="s">
        <v>44</v>
      </c>
      <c r="F319" t="s">
        <v>2389</v>
      </c>
      <c r="G319" t="s">
        <v>88</v>
      </c>
      <c r="H319" t="s">
        <v>88</v>
      </c>
      <c r="I319">
        <v>9</v>
      </c>
    </row>
    <row r="320" spans="1:9" x14ac:dyDescent="0.45">
      <c r="A320" t="s">
        <v>1464</v>
      </c>
      <c r="B320" t="s">
        <v>12</v>
      </c>
      <c r="C320">
        <v>16</v>
      </c>
      <c r="D320" t="s">
        <v>48</v>
      </c>
      <c r="E320" t="s">
        <v>49</v>
      </c>
      <c r="F320" t="s">
        <v>2390</v>
      </c>
      <c r="G320" t="s">
        <v>2391</v>
      </c>
      <c r="H320" t="s">
        <v>2392</v>
      </c>
      <c r="I320">
        <v>20</v>
      </c>
    </row>
    <row r="321" spans="1:9" x14ac:dyDescent="0.45">
      <c r="A321" t="s">
        <v>1464</v>
      </c>
      <c r="B321" t="s">
        <v>18</v>
      </c>
      <c r="C321">
        <v>81</v>
      </c>
      <c r="D321" t="s">
        <v>53</v>
      </c>
      <c r="E321" t="s">
        <v>14</v>
      </c>
      <c r="F321" t="s">
        <v>2393</v>
      </c>
      <c r="G321" t="s">
        <v>2394</v>
      </c>
      <c r="H321" t="s">
        <v>2395</v>
      </c>
      <c r="I321">
        <v>19</v>
      </c>
    </row>
    <row r="322" spans="1:9" x14ac:dyDescent="0.45">
      <c r="A322" t="s">
        <v>1464</v>
      </c>
      <c r="B322" t="s">
        <v>23</v>
      </c>
      <c r="C322">
        <v>55</v>
      </c>
      <c r="D322" t="s">
        <v>87</v>
      </c>
      <c r="E322" t="s">
        <v>49</v>
      </c>
      <c r="F322" t="s">
        <v>2396</v>
      </c>
      <c r="G322" t="s">
        <v>2397</v>
      </c>
      <c r="H322" t="s">
        <v>2398</v>
      </c>
      <c r="I322">
        <v>23</v>
      </c>
    </row>
    <row r="323" spans="1:9" x14ac:dyDescent="0.45">
      <c r="A323" t="s">
        <v>1464</v>
      </c>
      <c r="B323" t="s">
        <v>28</v>
      </c>
      <c r="C323">
        <v>11</v>
      </c>
      <c r="D323" t="s">
        <v>955</v>
      </c>
      <c r="E323" t="s">
        <v>20</v>
      </c>
      <c r="F323" t="s">
        <v>2399</v>
      </c>
      <c r="G323" t="s">
        <v>2400</v>
      </c>
      <c r="H323" t="s">
        <v>2401</v>
      </c>
      <c r="I323">
        <v>15</v>
      </c>
    </row>
    <row r="324" spans="1:9" x14ac:dyDescent="0.45">
      <c r="A324" t="s">
        <v>1464</v>
      </c>
      <c r="B324" t="s">
        <v>32</v>
      </c>
      <c r="C324">
        <v>63</v>
      </c>
      <c r="D324" t="s">
        <v>24</v>
      </c>
      <c r="E324" t="s">
        <v>25</v>
      </c>
      <c r="F324" t="s">
        <v>2402</v>
      </c>
      <c r="G324" t="s">
        <v>2403</v>
      </c>
      <c r="H324" t="s">
        <v>2404</v>
      </c>
      <c r="I324">
        <v>20</v>
      </c>
    </row>
    <row r="325" spans="1:9" x14ac:dyDescent="0.45">
      <c r="A325" t="s">
        <v>1464</v>
      </c>
      <c r="B325" t="s">
        <v>37</v>
      </c>
      <c r="C325">
        <v>1</v>
      </c>
      <c r="D325" t="s">
        <v>19</v>
      </c>
      <c r="E325" t="s">
        <v>20</v>
      </c>
      <c r="F325" t="s">
        <v>2405</v>
      </c>
      <c r="G325" t="s">
        <v>2406</v>
      </c>
      <c r="H325" t="s">
        <v>2407</v>
      </c>
      <c r="I325">
        <v>20</v>
      </c>
    </row>
    <row r="326" spans="1:9" x14ac:dyDescent="0.45">
      <c r="A326" t="s">
        <v>1464</v>
      </c>
      <c r="B326" t="s">
        <v>42</v>
      </c>
      <c r="C326">
        <v>44</v>
      </c>
      <c r="D326" t="s">
        <v>57</v>
      </c>
      <c r="E326" t="s">
        <v>25</v>
      </c>
      <c r="F326" t="s">
        <v>2408</v>
      </c>
      <c r="G326" t="s">
        <v>2409</v>
      </c>
      <c r="H326" t="s">
        <v>2410</v>
      </c>
      <c r="I326">
        <v>22</v>
      </c>
    </row>
    <row r="327" spans="1:9" x14ac:dyDescent="0.45">
      <c r="A327" t="s">
        <v>1464</v>
      </c>
      <c r="B327" t="s">
        <v>47</v>
      </c>
      <c r="C327">
        <v>14</v>
      </c>
      <c r="D327" t="s">
        <v>85</v>
      </c>
      <c r="E327" t="s">
        <v>39</v>
      </c>
      <c r="F327" t="s">
        <v>2411</v>
      </c>
      <c r="G327" t="s">
        <v>2412</v>
      </c>
      <c r="H327" t="s">
        <v>2413</v>
      </c>
      <c r="I327">
        <v>19</v>
      </c>
    </row>
    <row r="328" spans="1:9" x14ac:dyDescent="0.45">
      <c r="A328" t="s">
        <v>1464</v>
      </c>
      <c r="B328" t="s">
        <v>52</v>
      </c>
      <c r="C328">
        <v>43</v>
      </c>
      <c r="D328" t="s">
        <v>308</v>
      </c>
      <c r="E328" t="s">
        <v>34</v>
      </c>
      <c r="F328" t="s">
        <v>2414</v>
      </c>
      <c r="G328" t="s">
        <v>2415</v>
      </c>
      <c r="H328" t="s">
        <v>2416</v>
      </c>
      <c r="I328">
        <v>20</v>
      </c>
    </row>
    <row r="329" spans="1:9" x14ac:dyDescent="0.45">
      <c r="A329" t="s">
        <v>1464</v>
      </c>
      <c r="B329" t="s">
        <v>56</v>
      </c>
      <c r="C329">
        <v>23</v>
      </c>
      <c r="D329" t="s">
        <v>33</v>
      </c>
      <c r="E329" t="s">
        <v>34</v>
      </c>
      <c r="F329" t="s">
        <v>2417</v>
      </c>
      <c r="G329" t="s">
        <v>2418</v>
      </c>
      <c r="H329" t="s">
        <v>2419</v>
      </c>
      <c r="I329">
        <v>19</v>
      </c>
    </row>
    <row r="330" spans="1:9" x14ac:dyDescent="0.45">
      <c r="A330" t="s">
        <v>1464</v>
      </c>
      <c r="B330" t="s">
        <v>60</v>
      </c>
      <c r="C330">
        <v>50</v>
      </c>
      <c r="D330" t="s">
        <v>76</v>
      </c>
      <c r="E330" t="s">
        <v>72</v>
      </c>
      <c r="F330" t="s">
        <v>2420</v>
      </c>
      <c r="G330" t="s">
        <v>2421</v>
      </c>
      <c r="H330" t="s">
        <v>88</v>
      </c>
      <c r="I330">
        <v>14</v>
      </c>
    </row>
    <row r="331" spans="1:9" x14ac:dyDescent="0.45">
      <c r="A331" t="s">
        <v>1464</v>
      </c>
      <c r="B331" t="s">
        <v>65</v>
      </c>
      <c r="C331">
        <v>22</v>
      </c>
      <c r="D331" t="s">
        <v>66</v>
      </c>
      <c r="E331" t="s">
        <v>979</v>
      </c>
      <c r="F331" t="s">
        <v>2422</v>
      </c>
      <c r="G331" t="s">
        <v>2423</v>
      </c>
      <c r="H331" t="s">
        <v>88</v>
      </c>
      <c r="I331">
        <v>16</v>
      </c>
    </row>
    <row r="332" spans="1:9" x14ac:dyDescent="0.45">
      <c r="A332" t="s">
        <v>1464</v>
      </c>
      <c r="B332" t="s">
        <v>125</v>
      </c>
      <c r="C332">
        <v>10</v>
      </c>
      <c r="D332" t="s">
        <v>61</v>
      </c>
      <c r="E332" t="s">
        <v>62</v>
      </c>
      <c r="F332" t="s">
        <v>88</v>
      </c>
      <c r="G332" t="s">
        <v>88</v>
      </c>
      <c r="H332" t="s">
        <v>88</v>
      </c>
      <c r="I332">
        <v>0</v>
      </c>
    </row>
    <row r="333" spans="1:9" x14ac:dyDescent="0.45">
      <c r="A333" t="s">
        <v>1464</v>
      </c>
      <c r="B333" t="s">
        <v>70</v>
      </c>
      <c r="C333">
        <v>27</v>
      </c>
      <c r="D333" t="s">
        <v>43</v>
      </c>
      <c r="E333" t="s">
        <v>72</v>
      </c>
      <c r="F333" t="s">
        <v>2424</v>
      </c>
      <c r="G333" t="s">
        <v>2425</v>
      </c>
      <c r="H333" t="s">
        <v>88</v>
      </c>
      <c r="I333">
        <v>14</v>
      </c>
    </row>
    <row r="334" spans="1:9" x14ac:dyDescent="0.45">
      <c r="A334" t="s">
        <v>1464</v>
      </c>
      <c r="B334" t="s">
        <v>75</v>
      </c>
      <c r="C334">
        <v>18</v>
      </c>
      <c r="D334" t="s">
        <v>38</v>
      </c>
      <c r="E334" t="s">
        <v>39</v>
      </c>
      <c r="F334" t="s">
        <v>2426</v>
      </c>
      <c r="G334" t="s">
        <v>2427</v>
      </c>
      <c r="H334" t="s">
        <v>88</v>
      </c>
      <c r="I334">
        <v>14</v>
      </c>
    </row>
    <row r="335" spans="1:9" x14ac:dyDescent="0.45">
      <c r="A335" t="s">
        <v>1464</v>
      </c>
      <c r="B335" t="s">
        <v>120</v>
      </c>
      <c r="C335">
        <v>3</v>
      </c>
      <c r="D335" t="s">
        <v>978</v>
      </c>
      <c r="E335" t="s">
        <v>979</v>
      </c>
      <c r="F335" t="s">
        <v>2428</v>
      </c>
      <c r="G335" t="s">
        <v>88</v>
      </c>
      <c r="H335" t="s">
        <v>88</v>
      </c>
      <c r="I335">
        <v>9</v>
      </c>
    </row>
    <row r="336" spans="1:9" x14ac:dyDescent="0.45">
      <c r="A336" t="s">
        <v>1464</v>
      </c>
      <c r="B336" t="s">
        <v>122</v>
      </c>
      <c r="C336">
        <v>4</v>
      </c>
      <c r="D336" t="s">
        <v>13</v>
      </c>
      <c r="E336" t="s">
        <v>14</v>
      </c>
      <c r="F336" t="s">
        <v>2429</v>
      </c>
      <c r="G336" t="s">
        <v>88</v>
      </c>
      <c r="H336" t="s">
        <v>88</v>
      </c>
      <c r="I336">
        <v>7</v>
      </c>
    </row>
    <row r="337" spans="1:9" x14ac:dyDescent="0.45">
      <c r="A337" t="s">
        <v>1464</v>
      </c>
      <c r="B337" t="s">
        <v>163</v>
      </c>
      <c r="C337">
        <v>77</v>
      </c>
      <c r="D337" t="s">
        <v>986</v>
      </c>
      <c r="E337" t="s">
        <v>44</v>
      </c>
      <c r="F337" t="s">
        <v>2430</v>
      </c>
      <c r="G337" t="s">
        <v>88</v>
      </c>
      <c r="H337" t="s">
        <v>88</v>
      </c>
      <c r="I337">
        <v>7</v>
      </c>
    </row>
    <row r="338" spans="1:9" x14ac:dyDescent="0.45">
      <c r="A338" t="s">
        <v>1464</v>
      </c>
      <c r="B338" t="s">
        <v>166</v>
      </c>
      <c r="C338">
        <v>24</v>
      </c>
      <c r="D338" t="s">
        <v>974</v>
      </c>
      <c r="E338" t="s">
        <v>44</v>
      </c>
      <c r="F338" t="s">
        <v>2431</v>
      </c>
      <c r="G338" t="s">
        <v>88</v>
      </c>
      <c r="H338" t="s">
        <v>88</v>
      </c>
      <c r="I338">
        <v>10</v>
      </c>
    </row>
    <row r="339" spans="1:9" x14ac:dyDescent="0.45">
      <c r="A339" t="s">
        <v>1464</v>
      </c>
      <c r="B339" t="s">
        <v>169</v>
      </c>
      <c r="C339">
        <v>31</v>
      </c>
      <c r="D339" t="s">
        <v>71</v>
      </c>
      <c r="E339" t="s">
        <v>62</v>
      </c>
      <c r="F339" t="s">
        <v>2432</v>
      </c>
      <c r="G339" t="s">
        <v>88</v>
      </c>
      <c r="H339" t="s">
        <v>88</v>
      </c>
      <c r="I339">
        <v>8</v>
      </c>
    </row>
    <row r="340" spans="1:9" x14ac:dyDescent="0.45">
      <c r="A340" t="s">
        <v>1498</v>
      </c>
      <c r="B340" t="s">
        <v>12</v>
      </c>
      <c r="C340">
        <v>4</v>
      </c>
      <c r="D340" t="s">
        <v>13</v>
      </c>
      <c r="E340" t="s">
        <v>14</v>
      </c>
      <c r="F340" t="s">
        <v>2433</v>
      </c>
      <c r="G340" t="s">
        <v>2434</v>
      </c>
      <c r="H340" t="s">
        <v>2435</v>
      </c>
      <c r="I340">
        <v>16</v>
      </c>
    </row>
    <row r="341" spans="1:9" x14ac:dyDescent="0.45">
      <c r="A341" t="s">
        <v>1498</v>
      </c>
      <c r="B341" t="s">
        <v>18</v>
      </c>
      <c r="C341">
        <v>1</v>
      </c>
      <c r="D341" t="s">
        <v>19</v>
      </c>
      <c r="E341" t="s">
        <v>20</v>
      </c>
      <c r="F341" t="s">
        <v>2436</v>
      </c>
      <c r="G341" t="s">
        <v>2437</v>
      </c>
      <c r="H341" t="s">
        <v>2438</v>
      </c>
      <c r="I341">
        <v>18</v>
      </c>
    </row>
    <row r="342" spans="1:9" x14ac:dyDescent="0.45">
      <c r="A342" t="s">
        <v>1498</v>
      </c>
      <c r="B342" t="s">
        <v>23</v>
      </c>
      <c r="C342">
        <v>44</v>
      </c>
      <c r="D342" t="s">
        <v>57</v>
      </c>
      <c r="E342" t="s">
        <v>25</v>
      </c>
      <c r="F342" t="s">
        <v>2439</v>
      </c>
      <c r="G342" t="s">
        <v>2440</v>
      </c>
      <c r="H342" t="s">
        <v>520</v>
      </c>
      <c r="I342">
        <v>16</v>
      </c>
    </row>
    <row r="343" spans="1:9" x14ac:dyDescent="0.45">
      <c r="A343" t="s">
        <v>1498</v>
      </c>
      <c r="B343" t="s">
        <v>28</v>
      </c>
      <c r="C343">
        <v>63</v>
      </c>
      <c r="D343" t="s">
        <v>24</v>
      </c>
      <c r="E343" t="s">
        <v>25</v>
      </c>
      <c r="F343" t="s">
        <v>2441</v>
      </c>
      <c r="G343" t="s">
        <v>2442</v>
      </c>
      <c r="H343" t="s">
        <v>2443</v>
      </c>
      <c r="I343">
        <v>17</v>
      </c>
    </row>
    <row r="344" spans="1:9" x14ac:dyDescent="0.45">
      <c r="A344" t="s">
        <v>1498</v>
      </c>
      <c r="B344" t="s">
        <v>32</v>
      </c>
      <c r="C344">
        <v>81</v>
      </c>
      <c r="D344" t="s">
        <v>53</v>
      </c>
      <c r="E344" t="s">
        <v>14</v>
      </c>
      <c r="F344" t="s">
        <v>2444</v>
      </c>
      <c r="G344" t="s">
        <v>2445</v>
      </c>
      <c r="H344" t="s">
        <v>2446</v>
      </c>
      <c r="I344">
        <v>18</v>
      </c>
    </row>
    <row r="345" spans="1:9" x14ac:dyDescent="0.45">
      <c r="A345" t="s">
        <v>1498</v>
      </c>
      <c r="B345" t="s">
        <v>37</v>
      </c>
      <c r="C345">
        <v>27</v>
      </c>
      <c r="D345" t="s">
        <v>43</v>
      </c>
      <c r="E345" t="s">
        <v>72</v>
      </c>
      <c r="F345" t="s">
        <v>525</v>
      </c>
      <c r="G345" t="s">
        <v>2447</v>
      </c>
      <c r="H345" t="s">
        <v>2448</v>
      </c>
      <c r="I345">
        <v>18</v>
      </c>
    </row>
    <row r="346" spans="1:9" x14ac:dyDescent="0.45">
      <c r="A346" t="s">
        <v>1498</v>
      </c>
      <c r="B346" t="s">
        <v>42</v>
      </c>
      <c r="C346">
        <v>14</v>
      </c>
      <c r="D346" t="s">
        <v>85</v>
      </c>
      <c r="E346" t="s">
        <v>39</v>
      </c>
      <c r="F346" t="s">
        <v>2449</v>
      </c>
      <c r="G346" t="s">
        <v>2450</v>
      </c>
      <c r="H346" t="s">
        <v>2451</v>
      </c>
      <c r="I346">
        <v>17</v>
      </c>
    </row>
    <row r="347" spans="1:9" x14ac:dyDescent="0.45">
      <c r="A347" t="s">
        <v>1498</v>
      </c>
      <c r="B347" t="s">
        <v>47</v>
      </c>
      <c r="C347">
        <v>22</v>
      </c>
      <c r="D347" t="s">
        <v>66</v>
      </c>
      <c r="E347" t="s">
        <v>979</v>
      </c>
      <c r="F347" t="s">
        <v>528</v>
      </c>
      <c r="G347" t="s">
        <v>2452</v>
      </c>
      <c r="H347" t="s">
        <v>2453</v>
      </c>
      <c r="I347">
        <v>17</v>
      </c>
    </row>
    <row r="348" spans="1:9" x14ac:dyDescent="0.45">
      <c r="A348" t="s">
        <v>1498</v>
      </c>
      <c r="B348" t="s">
        <v>52</v>
      </c>
      <c r="C348">
        <v>16</v>
      </c>
      <c r="D348" t="s">
        <v>48</v>
      </c>
      <c r="E348" t="s">
        <v>49</v>
      </c>
      <c r="F348" t="s">
        <v>2454</v>
      </c>
      <c r="G348" t="s">
        <v>2455</v>
      </c>
      <c r="H348" t="s">
        <v>81</v>
      </c>
      <c r="I348">
        <v>19</v>
      </c>
    </row>
    <row r="349" spans="1:9" x14ac:dyDescent="0.45">
      <c r="A349" t="s">
        <v>1498</v>
      </c>
      <c r="B349" t="s">
        <v>56</v>
      </c>
      <c r="C349">
        <v>55</v>
      </c>
      <c r="D349" t="s">
        <v>87</v>
      </c>
      <c r="E349" t="s">
        <v>49</v>
      </c>
      <c r="F349" t="s">
        <v>2456</v>
      </c>
      <c r="G349" t="s">
        <v>2457</v>
      </c>
      <c r="H349" t="s">
        <v>428</v>
      </c>
      <c r="I349">
        <v>16</v>
      </c>
    </row>
    <row r="350" spans="1:9" x14ac:dyDescent="0.45">
      <c r="A350" t="s">
        <v>1498</v>
      </c>
      <c r="B350" t="s">
        <v>60</v>
      </c>
      <c r="C350">
        <v>23</v>
      </c>
      <c r="D350" t="s">
        <v>33</v>
      </c>
      <c r="E350" t="s">
        <v>34</v>
      </c>
      <c r="F350" t="s">
        <v>2458</v>
      </c>
      <c r="G350" t="s">
        <v>2459</v>
      </c>
      <c r="H350" t="s">
        <v>88</v>
      </c>
      <c r="I350">
        <v>12</v>
      </c>
    </row>
    <row r="351" spans="1:9" x14ac:dyDescent="0.45">
      <c r="A351" t="s">
        <v>1498</v>
      </c>
      <c r="B351" t="s">
        <v>65</v>
      </c>
      <c r="C351">
        <v>43</v>
      </c>
      <c r="D351" t="s">
        <v>308</v>
      </c>
      <c r="E351" t="s">
        <v>34</v>
      </c>
      <c r="F351" t="s">
        <v>2460</v>
      </c>
      <c r="G351" t="s">
        <v>1741</v>
      </c>
      <c r="H351" t="s">
        <v>88</v>
      </c>
      <c r="I351">
        <v>12</v>
      </c>
    </row>
    <row r="352" spans="1:9" x14ac:dyDescent="0.45">
      <c r="A352" t="s">
        <v>1498</v>
      </c>
      <c r="B352" t="s">
        <v>70</v>
      </c>
      <c r="C352">
        <v>11</v>
      </c>
      <c r="D352" t="s">
        <v>955</v>
      </c>
      <c r="E352" t="s">
        <v>20</v>
      </c>
      <c r="F352" t="s">
        <v>2461</v>
      </c>
      <c r="G352" t="s">
        <v>2462</v>
      </c>
      <c r="H352" t="s">
        <v>88</v>
      </c>
      <c r="I352">
        <v>14</v>
      </c>
    </row>
    <row r="353" spans="1:9" x14ac:dyDescent="0.45">
      <c r="A353" t="s">
        <v>1498</v>
      </c>
      <c r="B353" t="s">
        <v>75</v>
      </c>
      <c r="C353">
        <v>20</v>
      </c>
      <c r="D353" t="s">
        <v>976</v>
      </c>
      <c r="E353" t="s">
        <v>72</v>
      </c>
      <c r="F353" t="s">
        <v>2463</v>
      </c>
      <c r="G353" t="s">
        <v>2464</v>
      </c>
      <c r="H353" t="s">
        <v>88</v>
      </c>
      <c r="I353">
        <v>12</v>
      </c>
    </row>
    <row r="354" spans="1:9" x14ac:dyDescent="0.45">
      <c r="A354" t="s">
        <v>1498</v>
      </c>
      <c r="B354" t="s">
        <v>120</v>
      </c>
      <c r="C354">
        <v>31</v>
      </c>
      <c r="D354" t="s">
        <v>71</v>
      </c>
      <c r="E354" t="s">
        <v>62</v>
      </c>
      <c r="F354" t="s">
        <v>2465</v>
      </c>
      <c r="G354" t="s">
        <v>2466</v>
      </c>
      <c r="H354" t="s">
        <v>88</v>
      </c>
      <c r="I354">
        <v>15</v>
      </c>
    </row>
    <row r="355" spans="1:9" x14ac:dyDescent="0.45">
      <c r="A355" t="s">
        <v>1498</v>
      </c>
      <c r="B355" t="s">
        <v>122</v>
      </c>
      <c r="C355">
        <v>3</v>
      </c>
      <c r="D355" t="s">
        <v>978</v>
      </c>
      <c r="E355" t="s">
        <v>979</v>
      </c>
      <c r="F355" t="s">
        <v>2467</v>
      </c>
      <c r="G355" t="s">
        <v>88</v>
      </c>
      <c r="H355" t="s">
        <v>88</v>
      </c>
      <c r="I355">
        <v>6</v>
      </c>
    </row>
    <row r="356" spans="1:9" x14ac:dyDescent="0.45">
      <c r="A356" t="s">
        <v>1498</v>
      </c>
      <c r="B356" t="s">
        <v>163</v>
      </c>
      <c r="C356">
        <v>18</v>
      </c>
      <c r="D356" t="s">
        <v>38</v>
      </c>
      <c r="E356" t="s">
        <v>39</v>
      </c>
      <c r="F356" t="s">
        <v>2468</v>
      </c>
      <c r="G356" t="s">
        <v>88</v>
      </c>
      <c r="H356" t="s">
        <v>88</v>
      </c>
      <c r="I356">
        <v>6</v>
      </c>
    </row>
    <row r="357" spans="1:9" x14ac:dyDescent="0.45">
      <c r="A357" t="s">
        <v>1498</v>
      </c>
      <c r="B357" t="s">
        <v>166</v>
      </c>
      <c r="C357">
        <v>10</v>
      </c>
      <c r="D357" t="s">
        <v>61</v>
      </c>
      <c r="E357" t="s">
        <v>62</v>
      </c>
      <c r="F357" t="s">
        <v>2469</v>
      </c>
      <c r="G357" t="s">
        <v>88</v>
      </c>
      <c r="H357" t="s">
        <v>88</v>
      </c>
      <c r="I357">
        <v>9</v>
      </c>
    </row>
    <row r="358" spans="1:9" x14ac:dyDescent="0.45">
      <c r="A358" t="s">
        <v>1498</v>
      </c>
      <c r="B358" t="s">
        <v>169</v>
      </c>
      <c r="C358">
        <v>77</v>
      </c>
      <c r="D358" t="s">
        <v>986</v>
      </c>
      <c r="E358" t="s">
        <v>44</v>
      </c>
      <c r="F358" t="s">
        <v>2470</v>
      </c>
      <c r="G358" t="s">
        <v>88</v>
      </c>
      <c r="H358" t="s">
        <v>88</v>
      </c>
      <c r="I358">
        <v>9</v>
      </c>
    </row>
    <row r="359" spans="1:9" x14ac:dyDescent="0.45">
      <c r="A359" t="s">
        <v>1498</v>
      </c>
      <c r="B359" t="s">
        <v>172</v>
      </c>
      <c r="C359">
        <v>24</v>
      </c>
      <c r="D359" t="s">
        <v>974</v>
      </c>
      <c r="E359" t="s">
        <v>44</v>
      </c>
      <c r="F359" t="s">
        <v>2471</v>
      </c>
      <c r="G359" t="s">
        <v>88</v>
      </c>
      <c r="H359" t="s">
        <v>88</v>
      </c>
      <c r="I359">
        <v>9</v>
      </c>
    </row>
    <row r="360" spans="1:9" x14ac:dyDescent="0.45">
      <c r="A360" t="s">
        <v>1526</v>
      </c>
      <c r="B360" t="s">
        <v>12</v>
      </c>
      <c r="C360">
        <v>4</v>
      </c>
      <c r="D360" t="s">
        <v>13</v>
      </c>
      <c r="E360" t="s">
        <v>14</v>
      </c>
      <c r="F360" t="s">
        <v>2472</v>
      </c>
      <c r="G360" t="s">
        <v>2473</v>
      </c>
      <c r="H360" t="s">
        <v>2474</v>
      </c>
      <c r="I360">
        <v>16</v>
      </c>
    </row>
    <row r="361" spans="1:9" x14ac:dyDescent="0.45">
      <c r="A361" t="s">
        <v>1526</v>
      </c>
      <c r="B361" t="s">
        <v>18</v>
      </c>
      <c r="C361">
        <v>1</v>
      </c>
      <c r="D361" t="s">
        <v>19</v>
      </c>
      <c r="E361" t="s">
        <v>20</v>
      </c>
      <c r="F361" t="s">
        <v>2475</v>
      </c>
      <c r="G361" t="s">
        <v>2476</v>
      </c>
      <c r="H361" t="s">
        <v>2477</v>
      </c>
      <c r="I361">
        <v>17</v>
      </c>
    </row>
    <row r="362" spans="1:9" x14ac:dyDescent="0.45">
      <c r="A362" t="s">
        <v>1526</v>
      </c>
      <c r="B362" t="s">
        <v>23</v>
      </c>
      <c r="C362">
        <v>55</v>
      </c>
      <c r="D362" t="s">
        <v>87</v>
      </c>
      <c r="E362" t="s">
        <v>49</v>
      </c>
      <c r="F362" t="s">
        <v>2478</v>
      </c>
      <c r="G362" t="s">
        <v>2479</v>
      </c>
      <c r="H362" t="s">
        <v>2480</v>
      </c>
      <c r="I362">
        <v>19</v>
      </c>
    </row>
    <row r="363" spans="1:9" x14ac:dyDescent="0.45">
      <c r="A363" t="s">
        <v>1526</v>
      </c>
      <c r="B363" t="s">
        <v>28</v>
      </c>
      <c r="C363">
        <v>16</v>
      </c>
      <c r="D363" t="s">
        <v>48</v>
      </c>
      <c r="E363" t="s">
        <v>49</v>
      </c>
      <c r="F363" t="s">
        <v>2481</v>
      </c>
      <c r="G363" t="s">
        <v>2482</v>
      </c>
      <c r="H363" t="s">
        <v>2483</v>
      </c>
      <c r="I363">
        <v>20</v>
      </c>
    </row>
    <row r="364" spans="1:9" x14ac:dyDescent="0.45">
      <c r="A364" t="s">
        <v>1526</v>
      </c>
      <c r="B364" t="s">
        <v>32</v>
      </c>
      <c r="C364">
        <v>81</v>
      </c>
      <c r="D364" t="s">
        <v>53</v>
      </c>
      <c r="E364" t="s">
        <v>14</v>
      </c>
      <c r="F364" t="s">
        <v>2484</v>
      </c>
      <c r="G364" t="s">
        <v>2485</v>
      </c>
      <c r="H364" t="s">
        <v>2486</v>
      </c>
      <c r="I364">
        <v>19</v>
      </c>
    </row>
    <row r="365" spans="1:9" x14ac:dyDescent="0.45">
      <c r="A365" t="s">
        <v>1526</v>
      </c>
      <c r="B365" t="s">
        <v>37</v>
      </c>
      <c r="C365">
        <v>63</v>
      </c>
      <c r="D365" t="s">
        <v>24</v>
      </c>
      <c r="E365" t="s">
        <v>25</v>
      </c>
      <c r="F365" t="s">
        <v>2487</v>
      </c>
      <c r="G365" t="s">
        <v>2488</v>
      </c>
      <c r="H365" t="s">
        <v>2489</v>
      </c>
      <c r="I365">
        <v>15</v>
      </c>
    </row>
    <row r="366" spans="1:9" x14ac:dyDescent="0.45">
      <c r="A366" t="s">
        <v>1526</v>
      </c>
      <c r="B366" t="s">
        <v>42</v>
      </c>
      <c r="C366">
        <v>10</v>
      </c>
      <c r="D366" t="s">
        <v>61</v>
      </c>
      <c r="E366" t="s">
        <v>62</v>
      </c>
      <c r="F366" t="s">
        <v>2490</v>
      </c>
      <c r="G366" t="s">
        <v>2491</v>
      </c>
      <c r="H366" t="s">
        <v>2492</v>
      </c>
      <c r="I366">
        <v>20</v>
      </c>
    </row>
    <row r="367" spans="1:9" x14ac:dyDescent="0.45">
      <c r="A367" t="s">
        <v>1526</v>
      </c>
      <c r="B367" t="s">
        <v>47</v>
      </c>
      <c r="C367">
        <v>14</v>
      </c>
      <c r="D367" t="s">
        <v>85</v>
      </c>
      <c r="E367" t="s">
        <v>39</v>
      </c>
      <c r="F367" t="s">
        <v>2493</v>
      </c>
      <c r="G367" t="s">
        <v>2494</v>
      </c>
      <c r="H367" t="s">
        <v>2495</v>
      </c>
      <c r="I367">
        <v>18</v>
      </c>
    </row>
    <row r="368" spans="1:9" x14ac:dyDescent="0.45">
      <c r="A368" t="s">
        <v>1526</v>
      </c>
      <c r="B368" t="s">
        <v>52</v>
      </c>
      <c r="C368">
        <v>20</v>
      </c>
      <c r="D368" t="s">
        <v>976</v>
      </c>
      <c r="E368" t="s">
        <v>72</v>
      </c>
      <c r="F368" t="s">
        <v>2496</v>
      </c>
      <c r="G368" t="s">
        <v>2497</v>
      </c>
      <c r="H368" t="s">
        <v>1011</v>
      </c>
      <c r="I368">
        <v>17</v>
      </c>
    </row>
    <row r="369" spans="1:9" x14ac:dyDescent="0.45">
      <c r="A369" t="s">
        <v>1526</v>
      </c>
      <c r="B369" t="s">
        <v>56</v>
      </c>
      <c r="C369">
        <v>11</v>
      </c>
      <c r="D369" t="s">
        <v>955</v>
      </c>
      <c r="E369" t="s">
        <v>20</v>
      </c>
      <c r="F369" t="s">
        <v>2498</v>
      </c>
      <c r="G369" t="s">
        <v>2499</v>
      </c>
      <c r="H369" t="s">
        <v>81</v>
      </c>
      <c r="I369">
        <v>17</v>
      </c>
    </row>
    <row r="370" spans="1:9" x14ac:dyDescent="0.45">
      <c r="A370" t="s">
        <v>1526</v>
      </c>
      <c r="B370" t="s">
        <v>60</v>
      </c>
      <c r="C370">
        <v>22</v>
      </c>
      <c r="D370" t="s">
        <v>66</v>
      </c>
      <c r="E370" t="s">
        <v>979</v>
      </c>
      <c r="F370" t="s">
        <v>2500</v>
      </c>
      <c r="G370" t="s">
        <v>2501</v>
      </c>
      <c r="H370" t="s">
        <v>88</v>
      </c>
      <c r="I370">
        <v>14</v>
      </c>
    </row>
    <row r="371" spans="1:9" x14ac:dyDescent="0.45">
      <c r="A371" t="s">
        <v>1526</v>
      </c>
      <c r="B371" t="s">
        <v>65</v>
      </c>
      <c r="C371">
        <v>27</v>
      </c>
      <c r="D371" t="s">
        <v>43</v>
      </c>
      <c r="E371" t="s">
        <v>72</v>
      </c>
      <c r="F371" t="s">
        <v>2502</v>
      </c>
      <c r="G371" t="s">
        <v>2503</v>
      </c>
      <c r="H371" t="s">
        <v>88</v>
      </c>
      <c r="I371">
        <v>12</v>
      </c>
    </row>
    <row r="372" spans="1:9" x14ac:dyDescent="0.45">
      <c r="A372" t="s">
        <v>1526</v>
      </c>
      <c r="B372" t="s">
        <v>70</v>
      </c>
      <c r="C372">
        <v>31</v>
      </c>
      <c r="D372" t="s">
        <v>71</v>
      </c>
      <c r="E372" t="s">
        <v>62</v>
      </c>
      <c r="F372" t="s">
        <v>2504</v>
      </c>
      <c r="G372" t="s">
        <v>2505</v>
      </c>
      <c r="H372" t="s">
        <v>88</v>
      </c>
      <c r="I372">
        <v>15</v>
      </c>
    </row>
    <row r="373" spans="1:9" x14ac:dyDescent="0.45">
      <c r="A373" t="s">
        <v>1526</v>
      </c>
      <c r="B373" t="s">
        <v>75</v>
      </c>
      <c r="C373">
        <v>18</v>
      </c>
      <c r="D373" t="s">
        <v>38</v>
      </c>
      <c r="E373" t="s">
        <v>39</v>
      </c>
      <c r="F373" t="s">
        <v>2506</v>
      </c>
      <c r="G373" t="s">
        <v>2507</v>
      </c>
      <c r="H373" t="s">
        <v>88</v>
      </c>
      <c r="I373">
        <v>14</v>
      </c>
    </row>
    <row r="374" spans="1:9" x14ac:dyDescent="0.45">
      <c r="A374" t="s">
        <v>1526</v>
      </c>
      <c r="B374" t="s">
        <v>120</v>
      </c>
      <c r="C374">
        <v>30</v>
      </c>
      <c r="D374" t="s">
        <v>80</v>
      </c>
      <c r="E374" t="s">
        <v>979</v>
      </c>
      <c r="F374" t="s">
        <v>2508</v>
      </c>
      <c r="G374" t="s">
        <v>428</v>
      </c>
      <c r="H374" t="s">
        <v>88</v>
      </c>
      <c r="I374">
        <v>11</v>
      </c>
    </row>
    <row r="375" spans="1:9" x14ac:dyDescent="0.45">
      <c r="A375" t="s">
        <v>1526</v>
      </c>
      <c r="B375" t="s">
        <v>122</v>
      </c>
      <c r="C375">
        <v>23</v>
      </c>
      <c r="D375" t="s">
        <v>33</v>
      </c>
      <c r="E375" t="s">
        <v>34</v>
      </c>
      <c r="F375" t="s">
        <v>2509</v>
      </c>
      <c r="G375" t="s">
        <v>88</v>
      </c>
      <c r="H375" t="s">
        <v>88</v>
      </c>
      <c r="I375">
        <v>8</v>
      </c>
    </row>
    <row r="376" spans="1:9" x14ac:dyDescent="0.45">
      <c r="A376" t="s">
        <v>1526</v>
      </c>
      <c r="B376" t="s">
        <v>163</v>
      </c>
      <c r="C376">
        <v>43</v>
      </c>
      <c r="D376" t="s">
        <v>308</v>
      </c>
      <c r="E376" t="s">
        <v>34</v>
      </c>
      <c r="F376" t="s">
        <v>2510</v>
      </c>
      <c r="G376" t="s">
        <v>88</v>
      </c>
      <c r="H376" t="s">
        <v>88</v>
      </c>
      <c r="I376">
        <v>6</v>
      </c>
    </row>
    <row r="377" spans="1:9" x14ac:dyDescent="0.45">
      <c r="A377" t="s">
        <v>1526</v>
      </c>
      <c r="B377" t="s">
        <v>166</v>
      </c>
      <c r="C377">
        <v>77</v>
      </c>
      <c r="D377" t="s">
        <v>986</v>
      </c>
      <c r="E377" t="s">
        <v>44</v>
      </c>
      <c r="F377" t="s">
        <v>2511</v>
      </c>
      <c r="G377" t="s">
        <v>88</v>
      </c>
      <c r="H377" t="s">
        <v>88</v>
      </c>
      <c r="I377">
        <v>9</v>
      </c>
    </row>
    <row r="378" spans="1:9" x14ac:dyDescent="0.45">
      <c r="A378" t="s">
        <v>1526</v>
      </c>
      <c r="B378" t="s">
        <v>169</v>
      </c>
      <c r="C378">
        <v>44</v>
      </c>
      <c r="D378" t="s">
        <v>57</v>
      </c>
      <c r="E378" t="s">
        <v>25</v>
      </c>
      <c r="F378" t="s">
        <v>2512</v>
      </c>
      <c r="G378" t="s">
        <v>88</v>
      </c>
      <c r="H378" t="s">
        <v>88</v>
      </c>
      <c r="I378">
        <v>6</v>
      </c>
    </row>
    <row r="379" spans="1:9" x14ac:dyDescent="0.45">
      <c r="A379" t="s">
        <v>1526</v>
      </c>
      <c r="B379" t="s">
        <v>172</v>
      </c>
      <c r="C379">
        <v>24</v>
      </c>
      <c r="D379" t="s">
        <v>974</v>
      </c>
      <c r="E379" t="s">
        <v>44</v>
      </c>
      <c r="F379" t="s">
        <v>2513</v>
      </c>
      <c r="G379" t="s">
        <v>88</v>
      </c>
      <c r="H379" t="s">
        <v>88</v>
      </c>
      <c r="I379">
        <v>9</v>
      </c>
    </row>
    <row r="380" spans="1:9" x14ac:dyDescent="0.45">
      <c r="A380" t="s">
        <v>1558</v>
      </c>
      <c r="B380" t="s">
        <v>12</v>
      </c>
      <c r="C380">
        <v>55</v>
      </c>
      <c r="D380" t="s">
        <v>87</v>
      </c>
      <c r="E380" t="s">
        <v>49</v>
      </c>
      <c r="F380" t="s">
        <v>2514</v>
      </c>
      <c r="G380" t="s">
        <v>2515</v>
      </c>
      <c r="H380" t="s">
        <v>2516</v>
      </c>
      <c r="I380">
        <v>21</v>
      </c>
    </row>
    <row r="381" spans="1:9" x14ac:dyDescent="0.45">
      <c r="A381" t="s">
        <v>1558</v>
      </c>
      <c r="B381" t="s">
        <v>18</v>
      </c>
      <c r="C381">
        <v>1</v>
      </c>
      <c r="D381" t="s">
        <v>19</v>
      </c>
      <c r="E381" t="s">
        <v>20</v>
      </c>
      <c r="F381" t="s">
        <v>2517</v>
      </c>
      <c r="G381" t="s">
        <v>2518</v>
      </c>
      <c r="H381" t="s">
        <v>2519</v>
      </c>
      <c r="I381">
        <v>18</v>
      </c>
    </row>
    <row r="382" spans="1:9" x14ac:dyDescent="0.45">
      <c r="A382" t="s">
        <v>1558</v>
      </c>
      <c r="B382" t="s">
        <v>23</v>
      </c>
      <c r="C382">
        <v>4</v>
      </c>
      <c r="D382" t="s">
        <v>13</v>
      </c>
      <c r="E382" t="s">
        <v>14</v>
      </c>
      <c r="F382" t="s">
        <v>2520</v>
      </c>
      <c r="G382" t="s">
        <v>2521</v>
      </c>
      <c r="H382" t="s">
        <v>683</v>
      </c>
      <c r="I382">
        <v>15</v>
      </c>
    </row>
    <row r="383" spans="1:9" x14ac:dyDescent="0.45">
      <c r="A383" t="s">
        <v>1558</v>
      </c>
      <c r="B383" t="s">
        <v>28</v>
      </c>
      <c r="C383">
        <v>16</v>
      </c>
      <c r="D383" t="s">
        <v>48</v>
      </c>
      <c r="E383" t="s">
        <v>49</v>
      </c>
      <c r="F383" t="s">
        <v>2522</v>
      </c>
      <c r="G383" t="s">
        <v>2523</v>
      </c>
      <c r="H383" t="s">
        <v>2524</v>
      </c>
      <c r="I383">
        <v>21</v>
      </c>
    </row>
    <row r="384" spans="1:9" x14ac:dyDescent="0.45">
      <c r="A384" t="s">
        <v>1558</v>
      </c>
      <c r="B384" t="s">
        <v>32</v>
      </c>
      <c r="C384">
        <v>63</v>
      </c>
      <c r="D384" t="s">
        <v>24</v>
      </c>
      <c r="E384" t="s">
        <v>25</v>
      </c>
      <c r="F384" t="s">
        <v>2525</v>
      </c>
      <c r="G384" t="s">
        <v>2526</v>
      </c>
      <c r="H384" t="s">
        <v>2527</v>
      </c>
      <c r="I384">
        <v>19</v>
      </c>
    </row>
    <row r="385" spans="1:9" x14ac:dyDescent="0.45">
      <c r="A385" t="s">
        <v>1558</v>
      </c>
      <c r="B385" t="s">
        <v>37</v>
      </c>
      <c r="C385">
        <v>44</v>
      </c>
      <c r="D385" t="s">
        <v>57</v>
      </c>
      <c r="E385" t="s">
        <v>25</v>
      </c>
      <c r="F385" t="s">
        <v>2528</v>
      </c>
      <c r="G385" t="s">
        <v>2529</v>
      </c>
      <c r="H385" t="s">
        <v>2530</v>
      </c>
      <c r="I385">
        <v>19</v>
      </c>
    </row>
    <row r="386" spans="1:9" x14ac:dyDescent="0.45">
      <c r="A386" t="s">
        <v>1558</v>
      </c>
      <c r="B386" t="s">
        <v>42</v>
      </c>
      <c r="C386">
        <v>20</v>
      </c>
      <c r="D386" t="s">
        <v>976</v>
      </c>
      <c r="E386" t="s">
        <v>72</v>
      </c>
      <c r="F386" t="s">
        <v>2531</v>
      </c>
      <c r="G386" t="s">
        <v>2532</v>
      </c>
      <c r="H386" t="s">
        <v>2533</v>
      </c>
      <c r="I386">
        <v>18</v>
      </c>
    </row>
    <row r="387" spans="1:9" x14ac:dyDescent="0.45">
      <c r="A387" t="s">
        <v>1558</v>
      </c>
      <c r="B387" t="s">
        <v>47</v>
      </c>
      <c r="C387">
        <v>10</v>
      </c>
      <c r="D387" t="s">
        <v>61</v>
      </c>
      <c r="E387" t="s">
        <v>62</v>
      </c>
      <c r="F387" t="s">
        <v>2534</v>
      </c>
      <c r="G387" t="s">
        <v>2535</v>
      </c>
      <c r="H387" t="s">
        <v>2536</v>
      </c>
      <c r="I387">
        <v>18</v>
      </c>
    </row>
    <row r="388" spans="1:9" x14ac:dyDescent="0.45">
      <c r="A388" t="s">
        <v>1558</v>
      </c>
      <c r="B388" t="s">
        <v>52</v>
      </c>
      <c r="C388">
        <v>23</v>
      </c>
      <c r="D388" t="s">
        <v>33</v>
      </c>
      <c r="E388" t="s">
        <v>34</v>
      </c>
      <c r="F388" t="s">
        <v>2537</v>
      </c>
      <c r="G388" t="s">
        <v>2538</v>
      </c>
      <c r="H388" t="s">
        <v>2539</v>
      </c>
      <c r="I388">
        <v>18</v>
      </c>
    </row>
    <row r="389" spans="1:9" x14ac:dyDescent="0.45">
      <c r="A389" t="s">
        <v>1558</v>
      </c>
      <c r="B389" t="s">
        <v>56</v>
      </c>
      <c r="C389">
        <v>27</v>
      </c>
      <c r="D389" t="s">
        <v>43</v>
      </c>
      <c r="E389" t="s">
        <v>72</v>
      </c>
      <c r="F389" t="s">
        <v>2540</v>
      </c>
      <c r="G389" t="s">
        <v>2541</v>
      </c>
      <c r="H389" t="s">
        <v>2542</v>
      </c>
      <c r="I389">
        <v>18</v>
      </c>
    </row>
    <row r="390" spans="1:9" x14ac:dyDescent="0.45">
      <c r="A390" t="s">
        <v>1558</v>
      </c>
      <c r="B390" t="s">
        <v>60</v>
      </c>
      <c r="C390">
        <v>22</v>
      </c>
      <c r="D390" t="s">
        <v>66</v>
      </c>
      <c r="E390" t="s">
        <v>979</v>
      </c>
      <c r="F390" t="s">
        <v>2543</v>
      </c>
      <c r="G390" t="s">
        <v>2544</v>
      </c>
      <c r="H390" t="s">
        <v>88</v>
      </c>
      <c r="I390">
        <v>11</v>
      </c>
    </row>
    <row r="391" spans="1:9" x14ac:dyDescent="0.45">
      <c r="A391" t="s">
        <v>1558</v>
      </c>
      <c r="B391" t="s">
        <v>65</v>
      </c>
      <c r="C391">
        <v>30</v>
      </c>
      <c r="D391" t="s">
        <v>80</v>
      </c>
      <c r="E391" t="s">
        <v>979</v>
      </c>
      <c r="F391" t="s">
        <v>2545</v>
      </c>
      <c r="G391" t="s">
        <v>2546</v>
      </c>
      <c r="H391" t="s">
        <v>88</v>
      </c>
      <c r="I391">
        <v>11</v>
      </c>
    </row>
    <row r="392" spans="1:9" x14ac:dyDescent="0.45">
      <c r="A392" t="s">
        <v>1558</v>
      </c>
      <c r="B392" t="s">
        <v>70</v>
      </c>
      <c r="C392">
        <v>14</v>
      </c>
      <c r="D392" t="s">
        <v>85</v>
      </c>
      <c r="E392" t="s">
        <v>39</v>
      </c>
      <c r="F392" t="s">
        <v>2547</v>
      </c>
      <c r="G392" t="s">
        <v>2548</v>
      </c>
      <c r="H392" t="s">
        <v>88</v>
      </c>
      <c r="I392">
        <v>13</v>
      </c>
    </row>
    <row r="393" spans="1:9" x14ac:dyDescent="0.45">
      <c r="A393" t="s">
        <v>1558</v>
      </c>
      <c r="B393" t="s">
        <v>75</v>
      </c>
      <c r="C393">
        <v>18</v>
      </c>
      <c r="D393" t="s">
        <v>38</v>
      </c>
      <c r="E393" t="s">
        <v>39</v>
      </c>
      <c r="F393" t="s">
        <v>2549</v>
      </c>
      <c r="G393" t="s">
        <v>2550</v>
      </c>
      <c r="H393" t="s">
        <v>88</v>
      </c>
      <c r="I393">
        <v>14</v>
      </c>
    </row>
    <row r="394" spans="1:9" x14ac:dyDescent="0.45">
      <c r="A394" t="s">
        <v>1558</v>
      </c>
      <c r="B394" t="s">
        <v>120</v>
      </c>
      <c r="C394">
        <v>77</v>
      </c>
      <c r="D394" t="s">
        <v>986</v>
      </c>
      <c r="E394" t="s">
        <v>44</v>
      </c>
      <c r="F394" t="s">
        <v>2551</v>
      </c>
      <c r="G394" t="s">
        <v>2552</v>
      </c>
      <c r="H394" t="s">
        <v>88</v>
      </c>
      <c r="I394">
        <v>14</v>
      </c>
    </row>
    <row r="395" spans="1:9" x14ac:dyDescent="0.45">
      <c r="A395" t="s">
        <v>1558</v>
      </c>
      <c r="B395" t="s">
        <v>122</v>
      </c>
      <c r="C395">
        <v>43</v>
      </c>
      <c r="D395" t="s">
        <v>308</v>
      </c>
      <c r="E395" t="s">
        <v>34</v>
      </c>
      <c r="F395" t="s">
        <v>2553</v>
      </c>
      <c r="G395" t="s">
        <v>88</v>
      </c>
      <c r="H395" t="s">
        <v>88</v>
      </c>
      <c r="I395">
        <v>6</v>
      </c>
    </row>
    <row r="396" spans="1:9" x14ac:dyDescent="0.45">
      <c r="A396" t="s">
        <v>1558</v>
      </c>
      <c r="B396" t="s">
        <v>163</v>
      </c>
      <c r="C396">
        <v>81</v>
      </c>
      <c r="D396" t="s">
        <v>53</v>
      </c>
      <c r="E396" t="s">
        <v>14</v>
      </c>
      <c r="F396" t="s">
        <v>2554</v>
      </c>
      <c r="G396" t="s">
        <v>88</v>
      </c>
      <c r="H396" t="s">
        <v>88</v>
      </c>
      <c r="I396">
        <v>8</v>
      </c>
    </row>
    <row r="397" spans="1:9" x14ac:dyDescent="0.45">
      <c r="A397" t="s">
        <v>1558</v>
      </c>
      <c r="B397" t="s">
        <v>166</v>
      </c>
      <c r="C397">
        <v>11</v>
      </c>
      <c r="D397" t="s">
        <v>955</v>
      </c>
      <c r="E397" t="s">
        <v>20</v>
      </c>
      <c r="F397" t="s">
        <v>2555</v>
      </c>
      <c r="G397" t="s">
        <v>88</v>
      </c>
      <c r="H397" t="s">
        <v>88</v>
      </c>
      <c r="I397">
        <v>9</v>
      </c>
    </row>
    <row r="398" spans="1:9" x14ac:dyDescent="0.45">
      <c r="A398" t="s">
        <v>1558</v>
      </c>
      <c r="B398" t="s">
        <v>169</v>
      </c>
      <c r="C398">
        <v>31</v>
      </c>
      <c r="D398" t="s">
        <v>71</v>
      </c>
      <c r="E398" t="s">
        <v>62</v>
      </c>
      <c r="F398" t="s">
        <v>1831</v>
      </c>
      <c r="G398" t="s">
        <v>88</v>
      </c>
      <c r="H398" t="s">
        <v>88</v>
      </c>
      <c r="I398">
        <v>9</v>
      </c>
    </row>
    <row r="399" spans="1:9" x14ac:dyDescent="0.45">
      <c r="A399" t="s">
        <v>1558</v>
      </c>
      <c r="B399" t="s">
        <v>172</v>
      </c>
      <c r="C399">
        <v>24</v>
      </c>
      <c r="D399" t="s">
        <v>974</v>
      </c>
      <c r="E399" t="s">
        <v>44</v>
      </c>
      <c r="F399" t="s">
        <v>2556</v>
      </c>
      <c r="G399" t="s">
        <v>88</v>
      </c>
      <c r="H399" t="s">
        <v>88</v>
      </c>
      <c r="I399">
        <v>9</v>
      </c>
    </row>
    <row r="400" spans="1:9" x14ac:dyDescent="0.45">
      <c r="A400" t="s">
        <v>863</v>
      </c>
      <c r="B400" t="s">
        <v>12</v>
      </c>
      <c r="C400">
        <v>4</v>
      </c>
      <c r="D400" t="s">
        <v>13</v>
      </c>
      <c r="E400" t="s">
        <v>14</v>
      </c>
      <c r="F400" t="s">
        <v>2557</v>
      </c>
      <c r="G400" t="s">
        <v>2558</v>
      </c>
      <c r="H400" t="s">
        <v>2559</v>
      </c>
      <c r="I400">
        <v>33</v>
      </c>
    </row>
    <row r="401" spans="1:9" x14ac:dyDescent="0.45">
      <c r="A401" t="s">
        <v>863</v>
      </c>
      <c r="B401" t="s">
        <v>18</v>
      </c>
      <c r="C401">
        <v>63</v>
      </c>
      <c r="D401" t="s">
        <v>24</v>
      </c>
      <c r="E401" t="s">
        <v>25</v>
      </c>
      <c r="F401" t="s">
        <v>1708</v>
      </c>
      <c r="G401" t="s">
        <v>2560</v>
      </c>
      <c r="H401" t="s">
        <v>2561</v>
      </c>
      <c r="I401">
        <v>29</v>
      </c>
    </row>
    <row r="402" spans="1:9" x14ac:dyDescent="0.45">
      <c r="A402" t="s">
        <v>863</v>
      </c>
      <c r="B402" t="s">
        <v>23</v>
      </c>
      <c r="C402">
        <v>22</v>
      </c>
      <c r="D402" t="s">
        <v>66</v>
      </c>
      <c r="E402" t="s">
        <v>979</v>
      </c>
      <c r="F402" t="s">
        <v>2562</v>
      </c>
      <c r="G402" t="s">
        <v>2563</v>
      </c>
      <c r="H402" t="s">
        <v>2564</v>
      </c>
      <c r="I402">
        <v>30</v>
      </c>
    </row>
    <row r="403" spans="1:9" x14ac:dyDescent="0.45">
      <c r="A403" t="s">
        <v>863</v>
      </c>
      <c r="B403" t="s">
        <v>28</v>
      </c>
      <c r="C403">
        <v>31</v>
      </c>
      <c r="D403" t="s">
        <v>71</v>
      </c>
      <c r="E403" t="s">
        <v>62</v>
      </c>
      <c r="F403" t="s">
        <v>2565</v>
      </c>
      <c r="G403" t="s">
        <v>2566</v>
      </c>
      <c r="H403" t="s">
        <v>2567</v>
      </c>
      <c r="I403">
        <v>31</v>
      </c>
    </row>
    <row r="404" spans="1:9" x14ac:dyDescent="0.45">
      <c r="A404" t="s">
        <v>863</v>
      </c>
      <c r="B404" t="s">
        <v>32</v>
      </c>
      <c r="C404">
        <v>30</v>
      </c>
      <c r="D404" t="s">
        <v>80</v>
      </c>
      <c r="E404" t="s">
        <v>979</v>
      </c>
      <c r="F404" t="s">
        <v>2568</v>
      </c>
      <c r="G404" t="s">
        <v>2569</v>
      </c>
      <c r="H404" t="s">
        <v>2570</v>
      </c>
      <c r="I404">
        <v>30</v>
      </c>
    </row>
    <row r="405" spans="1:9" x14ac:dyDescent="0.45">
      <c r="A405" t="s">
        <v>863</v>
      </c>
      <c r="B405" t="s">
        <v>37</v>
      </c>
      <c r="C405">
        <v>16</v>
      </c>
      <c r="D405" t="s">
        <v>48</v>
      </c>
      <c r="E405" t="s">
        <v>49</v>
      </c>
      <c r="F405" t="s">
        <v>2571</v>
      </c>
      <c r="G405" t="s">
        <v>2572</v>
      </c>
      <c r="H405" t="s">
        <v>2573</v>
      </c>
      <c r="I405">
        <v>29</v>
      </c>
    </row>
    <row r="406" spans="1:9" x14ac:dyDescent="0.45">
      <c r="A406" t="s">
        <v>863</v>
      </c>
      <c r="B406" t="s">
        <v>42</v>
      </c>
      <c r="C406">
        <v>23</v>
      </c>
      <c r="D406" t="s">
        <v>33</v>
      </c>
      <c r="E406" t="s">
        <v>34</v>
      </c>
      <c r="F406" t="s">
        <v>2574</v>
      </c>
      <c r="G406" t="s">
        <v>2575</v>
      </c>
      <c r="H406" t="s">
        <v>2576</v>
      </c>
      <c r="I406">
        <v>28</v>
      </c>
    </row>
    <row r="407" spans="1:9" x14ac:dyDescent="0.45">
      <c r="A407" t="s">
        <v>863</v>
      </c>
      <c r="B407" t="s">
        <v>47</v>
      </c>
      <c r="C407">
        <v>81</v>
      </c>
      <c r="D407" t="s">
        <v>53</v>
      </c>
      <c r="E407" t="s">
        <v>14</v>
      </c>
      <c r="F407" t="s">
        <v>2577</v>
      </c>
      <c r="G407" t="s">
        <v>2578</v>
      </c>
      <c r="H407" t="s">
        <v>2579</v>
      </c>
      <c r="I407">
        <v>28</v>
      </c>
    </row>
    <row r="408" spans="1:9" x14ac:dyDescent="0.45">
      <c r="A408" t="s">
        <v>863</v>
      </c>
      <c r="B408" t="s">
        <v>52</v>
      </c>
      <c r="C408">
        <v>14</v>
      </c>
      <c r="D408" t="s">
        <v>85</v>
      </c>
      <c r="E408" t="s">
        <v>39</v>
      </c>
      <c r="F408" t="s">
        <v>2580</v>
      </c>
      <c r="G408" t="s">
        <v>2581</v>
      </c>
      <c r="H408" t="s">
        <v>2582</v>
      </c>
      <c r="I408">
        <v>21</v>
      </c>
    </row>
    <row r="409" spans="1:9" x14ac:dyDescent="0.45">
      <c r="A409" t="s">
        <v>863</v>
      </c>
      <c r="B409" t="s">
        <v>56</v>
      </c>
      <c r="C409">
        <v>18</v>
      </c>
      <c r="D409" t="s">
        <v>38</v>
      </c>
      <c r="E409" t="s">
        <v>39</v>
      </c>
      <c r="F409" t="s">
        <v>2583</v>
      </c>
      <c r="G409" t="s">
        <v>2584</v>
      </c>
      <c r="H409" t="s">
        <v>88</v>
      </c>
      <c r="I409">
        <v>19</v>
      </c>
    </row>
    <row r="410" spans="1:9" x14ac:dyDescent="0.45">
      <c r="A410" t="s">
        <v>863</v>
      </c>
      <c r="B410" t="s">
        <v>60</v>
      </c>
      <c r="C410">
        <v>77</v>
      </c>
      <c r="D410" t="s">
        <v>986</v>
      </c>
      <c r="E410" t="s">
        <v>44</v>
      </c>
      <c r="F410" t="s">
        <v>2585</v>
      </c>
      <c r="G410" t="s">
        <v>2586</v>
      </c>
      <c r="H410" t="s">
        <v>88</v>
      </c>
      <c r="I410">
        <v>21</v>
      </c>
    </row>
    <row r="411" spans="1:9" x14ac:dyDescent="0.45">
      <c r="A411" t="s">
        <v>863</v>
      </c>
      <c r="B411" t="s">
        <v>65</v>
      </c>
      <c r="C411">
        <v>1</v>
      </c>
      <c r="D411" t="s">
        <v>19</v>
      </c>
      <c r="E411" t="s">
        <v>20</v>
      </c>
      <c r="F411" t="s">
        <v>2587</v>
      </c>
      <c r="G411" t="s">
        <v>2588</v>
      </c>
      <c r="H411" t="s">
        <v>88</v>
      </c>
      <c r="I411">
        <v>19</v>
      </c>
    </row>
    <row r="412" spans="1:9" x14ac:dyDescent="0.45">
      <c r="A412" t="s">
        <v>863</v>
      </c>
      <c r="B412" t="s">
        <v>70</v>
      </c>
      <c r="C412">
        <v>11</v>
      </c>
      <c r="D412" t="s">
        <v>955</v>
      </c>
      <c r="E412" t="s">
        <v>20</v>
      </c>
      <c r="F412" t="s">
        <v>2589</v>
      </c>
      <c r="G412" t="s">
        <v>2590</v>
      </c>
      <c r="H412" t="s">
        <v>88</v>
      </c>
      <c r="I412">
        <v>18</v>
      </c>
    </row>
    <row r="413" spans="1:9" x14ac:dyDescent="0.45">
      <c r="A413" t="s">
        <v>863</v>
      </c>
      <c r="B413" t="s">
        <v>75</v>
      </c>
      <c r="C413">
        <v>55</v>
      </c>
      <c r="D413" t="s">
        <v>87</v>
      </c>
      <c r="E413" t="s">
        <v>49</v>
      </c>
      <c r="F413" t="s">
        <v>2589</v>
      </c>
      <c r="G413" t="s">
        <v>2590</v>
      </c>
      <c r="H413" t="s">
        <v>88</v>
      </c>
      <c r="I413">
        <v>18</v>
      </c>
    </row>
    <row r="414" spans="1:9" x14ac:dyDescent="0.45">
      <c r="A414" t="s">
        <v>863</v>
      </c>
      <c r="B414" t="s">
        <v>120</v>
      </c>
      <c r="C414">
        <v>10</v>
      </c>
      <c r="D414" t="s">
        <v>61</v>
      </c>
      <c r="E414" t="s">
        <v>62</v>
      </c>
      <c r="F414" t="s">
        <v>2591</v>
      </c>
      <c r="G414" t="s">
        <v>1733</v>
      </c>
      <c r="H414" t="s">
        <v>88</v>
      </c>
      <c r="I414">
        <v>21</v>
      </c>
    </row>
    <row r="415" spans="1:9" x14ac:dyDescent="0.45">
      <c r="A415" t="s">
        <v>863</v>
      </c>
      <c r="B415" t="s">
        <v>122</v>
      </c>
      <c r="C415">
        <v>44</v>
      </c>
      <c r="D415" t="s">
        <v>57</v>
      </c>
      <c r="E415" t="s">
        <v>25</v>
      </c>
      <c r="F415" t="s">
        <v>2592</v>
      </c>
      <c r="G415" t="s">
        <v>88</v>
      </c>
      <c r="H415" t="s">
        <v>88</v>
      </c>
      <c r="I415">
        <v>11</v>
      </c>
    </row>
    <row r="416" spans="1:9" x14ac:dyDescent="0.45">
      <c r="A416" t="s">
        <v>863</v>
      </c>
      <c r="B416" t="s">
        <v>163</v>
      </c>
      <c r="C416">
        <v>50</v>
      </c>
      <c r="D416" t="s">
        <v>76</v>
      </c>
      <c r="E416" t="s">
        <v>72</v>
      </c>
      <c r="F416" t="s">
        <v>2593</v>
      </c>
      <c r="G416" t="s">
        <v>88</v>
      </c>
      <c r="H416" t="s">
        <v>88</v>
      </c>
      <c r="I416">
        <v>11</v>
      </c>
    </row>
    <row r="417" spans="1:9" x14ac:dyDescent="0.45">
      <c r="A417" t="s">
        <v>863</v>
      </c>
      <c r="B417" t="s">
        <v>166</v>
      </c>
      <c r="C417">
        <v>43</v>
      </c>
      <c r="D417" t="s">
        <v>308</v>
      </c>
      <c r="E417" t="s">
        <v>34</v>
      </c>
      <c r="F417" t="s">
        <v>2594</v>
      </c>
      <c r="G417" t="s">
        <v>88</v>
      </c>
      <c r="H417" t="s">
        <v>88</v>
      </c>
      <c r="I417">
        <v>5</v>
      </c>
    </row>
    <row r="418" spans="1:9" x14ac:dyDescent="0.45">
      <c r="A418" t="s">
        <v>863</v>
      </c>
      <c r="B418" t="s">
        <v>169</v>
      </c>
      <c r="C418">
        <v>27</v>
      </c>
      <c r="D418" t="s">
        <v>43</v>
      </c>
      <c r="E418" t="s">
        <v>72</v>
      </c>
      <c r="F418" t="s">
        <v>2595</v>
      </c>
      <c r="G418" t="s">
        <v>88</v>
      </c>
      <c r="H418" t="s">
        <v>88</v>
      </c>
      <c r="I418">
        <v>12</v>
      </c>
    </row>
    <row r="419" spans="1:9" x14ac:dyDescent="0.45">
      <c r="A419" t="s">
        <v>863</v>
      </c>
      <c r="B419" t="s">
        <v>172</v>
      </c>
      <c r="C419">
        <v>24</v>
      </c>
      <c r="D419" t="s">
        <v>974</v>
      </c>
      <c r="E419" t="s">
        <v>44</v>
      </c>
      <c r="F419" t="s">
        <v>2596</v>
      </c>
      <c r="G419" t="s">
        <v>88</v>
      </c>
      <c r="H419" t="s">
        <v>88</v>
      </c>
      <c r="I419">
        <v>12</v>
      </c>
    </row>
    <row r="420" spans="1:9" x14ac:dyDescent="0.45">
      <c r="A420" t="s">
        <v>1616</v>
      </c>
      <c r="B420" t="s">
        <v>12</v>
      </c>
      <c r="C420">
        <v>63</v>
      </c>
      <c r="D420" t="s">
        <v>24</v>
      </c>
      <c r="E420" t="s">
        <v>25</v>
      </c>
      <c r="F420" t="s">
        <v>2597</v>
      </c>
      <c r="G420" t="s">
        <v>2598</v>
      </c>
      <c r="H420" t="s">
        <v>2599</v>
      </c>
      <c r="I420">
        <v>25</v>
      </c>
    </row>
    <row r="421" spans="1:9" x14ac:dyDescent="0.45">
      <c r="A421" t="s">
        <v>1616</v>
      </c>
      <c r="B421" t="s">
        <v>18</v>
      </c>
      <c r="C421">
        <v>55</v>
      </c>
      <c r="D421" t="s">
        <v>87</v>
      </c>
      <c r="E421" t="s">
        <v>49</v>
      </c>
      <c r="F421" t="s">
        <v>2600</v>
      </c>
      <c r="G421" t="s">
        <v>2601</v>
      </c>
      <c r="H421" t="s">
        <v>2602</v>
      </c>
      <c r="I421">
        <v>24</v>
      </c>
    </row>
    <row r="422" spans="1:9" x14ac:dyDescent="0.45">
      <c r="A422" t="s">
        <v>1616</v>
      </c>
      <c r="B422" t="s">
        <v>23</v>
      </c>
      <c r="C422">
        <v>10</v>
      </c>
      <c r="D422" t="s">
        <v>61</v>
      </c>
      <c r="E422" t="s">
        <v>62</v>
      </c>
      <c r="F422" t="s">
        <v>2603</v>
      </c>
      <c r="G422" t="s">
        <v>2604</v>
      </c>
      <c r="H422" t="s">
        <v>2605</v>
      </c>
      <c r="I422">
        <v>25</v>
      </c>
    </row>
    <row r="423" spans="1:9" x14ac:dyDescent="0.45">
      <c r="A423" t="s">
        <v>1616</v>
      </c>
      <c r="B423" t="s">
        <v>28</v>
      </c>
      <c r="C423">
        <v>16</v>
      </c>
      <c r="D423" t="s">
        <v>48</v>
      </c>
      <c r="E423" t="s">
        <v>49</v>
      </c>
      <c r="F423" t="s">
        <v>242</v>
      </c>
      <c r="G423" t="s">
        <v>2606</v>
      </c>
      <c r="H423" t="s">
        <v>2607</v>
      </c>
      <c r="I423">
        <v>23</v>
      </c>
    </row>
    <row r="424" spans="1:9" x14ac:dyDescent="0.45">
      <c r="A424" t="s">
        <v>1616</v>
      </c>
      <c r="B424" t="s">
        <v>32</v>
      </c>
      <c r="C424">
        <v>1</v>
      </c>
      <c r="D424" t="s">
        <v>19</v>
      </c>
      <c r="E424" t="s">
        <v>20</v>
      </c>
      <c r="F424" t="s">
        <v>2608</v>
      </c>
      <c r="G424" t="s">
        <v>2609</v>
      </c>
      <c r="H424" t="s">
        <v>2610</v>
      </c>
      <c r="I424">
        <v>21</v>
      </c>
    </row>
    <row r="425" spans="1:9" x14ac:dyDescent="0.45">
      <c r="A425" t="s">
        <v>1616</v>
      </c>
      <c r="B425" t="s">
        <v>37</v>
      </c>
      <c r="C425">
        <v>4</v>
      </c>
      <c r="D425" t="s">
        <v>13</v>
      </c>
      <c r="E425" t="s">
        <v>14</v>
      </c>
      <c r="F425" t="s">
        <v>2611</v>
      </c>
      <c r="G425" t="s">
        <v>2612</v>
      </c>
      <c r="H425" t="s">
        <v>2613</v>
      </c>
      <c r="I425">
        <v>20</v>
      </c>
    </row>
    <row r="426" spans="1:9" x14ac:dyDescent="0.45">
      <c r="A426" t="s">
        <v>1616</v>
      </c>
      <c r="B426" t="s">
        <v>42</v>
      </c>
      <c r="C426">
        <v>22</v>
      </c>
      <c r="D426" t="s">
        <v>66</v>
      </c>
      <c r="E426" t="s">
        <v>979</v>
      </c>
      <c r="F426" t="s">
        <v>2614</v>
      </c>
      <c r="G426" t="s">
        <v>2615</v>
      </c>
      <c r="H426" t="s">
        <v>2616</v>
      </c>
      <c r="I426">
        <v>25</v>
      </c>
    </row>
    <row r="427" spans="1:9" x14ac:dyDescent="0.45">
      <c r="A427" t="s">
        <v>1616</v>
      </c>
      <c r="B427" t="s">
        <v>47</v>
      </c>
      <c r="C427">
        <v>81</v>
      </c>
      <c r="D427" t="s">
        <v>53</v>
      </c>
      <c r="E427" t="s">
        <v>14</v>
      </c>
      <c r="F427" t="s">
        <v>2617</v>
      </c>
      <c r="G427" t="s">
        <v>2618</v>
      </c>
      <c r="H427" t="s">
        <v>2619</v>
      </c>
      <c r="I427">
        <v>21</v>
      </c>
    </row>
    <row r="428" spans="1:9" x14ac:dyDescent="0.45">
      <c r="A428" t="s">
        <v>1616</v>
      </c>
      <c r="B428" t="s">
        <v>52</v>
      </c>
      <c r="C428">
        <v>27</v>
      </c>
      <c r="D428" t="s">
        <v>43</v>
      </c>
      <c r="E428" t="s">
        <v>72</v>
      </c>
      <c r="F428" t="s">
        <v>2620</v>
      </c>
      <c r="G428" t="s">
        <v>2621</v>
      </c>
      <c r="H428" t="s">
        <v>2622</v>
      </c>
      <c r="I428">
        <v>17</v>
      </c>
    </row>
    <row r="429" spans="1:9" x14ac:dyDescent="0.45">
      <c r="A429" t="s">
        <v>1616</v>
      </c>
      <c r="B429" t="s">
        <v>56</v>
      </c>
      <c r="C429">
        <v>44</v>
      </c>
      <c r="D429" t="s">
        <v>57</v>
      </c>
      <c r="E429" t="s">
        <v>25</v>
      </c>
      <c r="F429" t="s">
        <v>2623</v>
      </c>
      <c r="G429" t="s">
        <v>2624</v>
      </c>
      <c r="H429" t="s">
        <v>2625</v>
      </c>
      <c r="I429">
        <v>24</v>
      </c>
    </row>
    <row r="430" spans="1:9" x14ac:dyDescent="0.45">
      <c r="A430" t="s">
        <v>1616</v>
      </c>
      <c r="B430" t="s">
        <v>60</v>
      </c>
      <c r="C430">
        <v>31</v>
      </c>
      <c r="D430" t="s">
        <v>71</v>
      </c>
      <c r="E430" t="s">
        <v>62</v>
      </c>
      <c r="F430" t="s">
        <v>2626</v>
      </c>
      <c r="G430" t="s">
        <v>2627</v>
      </c>
      <c r="H430" t="s">
        <v>88</v>
      </c>
      <c r="I430">
        <v>18</v>
      </c>
    </row>
    <row r="431" spans="1:9" x14ac:dyDescent="0.45">
      <c r="A431" t="s">
        <v>1616</v>
      </c>
      <c r="B431" t="s">
        <v>65</v>
      </c>
      <c r="C431">
        <v>20</v>
      </c>
      <c r="D431" t="s">
        <v>976</v>
      </c>
      <c r="E431" t="s">
        <v>72</v>
      </c>
      <c r="F431" t="s">
        <v>2628</v>
      </c>
      <c r="G431" t="s">
        <v>2629</v>
      </c>
      <c r="H431" t="s">
        <v>88</v>
      </c>
      <c r="I431">
        <v>12</v>
      </c>
    </row>
    <row r="432" spans="1:9" x14ac:dyDescent="0.45">
      <c r="A432" t="s">
        <v>1616</v>
      </c>
      <c r="B432" t="s">
        <v>70</v>
      </c>
      <c r="C432">
        <v>24</v>
      </c>
      <c r="D432" t="s">
        <v>974</v>
      </c>
      <c r="E432" t="s">
        <v>44</v>
      </c>
      <c r="F432" t="s">
        <v>2630</v>
      </c>
      <c r="G432" t="s">
        <v>2631</v>
      </c>
      <c r="H432" t="s">
        <v>88</v>
      </c>
      <c r="I432">
        <v>17</v>
      </c>
    </row>
    <row r="433" spans="1:9" x14ac:dyDescent="0.45">
      <c r="A433" t="s">
        <v>1616</v>
      </c>
      <c r="B433" t="s">
        <v>75</v>
      </c>
      <c r="C433">
        <v>43</v>
      </c>
      <c r="D433" t="s">
        <v>308</v>
      </c>
      <c r="E433" t="s">
        <v>34</v>
      </c>
      <c r="F433" t="s">
        <v>2632</v>
      </c>
      <c r="G433" t="s">
        <v>2633</v>
      </c>
      <c r="H433" t="s">
        <v>88</v>
      </c>
      <c r="I433">
        <v>16</v>
      </c>
    </row>
    <row r="434" spans="1:9" x14ac:dyDescent="0.45">
      <c r="A434" t="s">
        <v>1616</v>
      </c>
      <c r="B434" t="s">
        <v>120</v>
      </c>
      <c r="C434">
        <v>30</v>
      </c>
      <c r="D434" t="s">
        <v>80</v>
      </c>
      <c r="E434" t="s">
        <v>979</v>
      </c>
      <c r="F434" t="s">
        <v>2634</v>
      </c>
      <c r="G434" t="s">
        <v>2635</v>
      </c>
      <c r="H434" t="s">
        <v>88</v>
      </c>
      <c r="I434">
        <v>17</v>
      </c>
    </row>
    <row r="435" spans="1:9" x14ac:dyDescent="0.45">
      <c r="A435" t="s">
        <v>1616</v>
      </c>
      <c r="B435" t="s">
        <v>122</v>
      </c>
      <c r="C435">
        <v>11</v>
      </c>
      <c r="D435" t="s">
        <v>955</v>
      </c>
      <c r="E435" t="s">
        <v>20</v>
      </c>
      <c r="F435" t="s">
        <v>2636</v>
      </c>
      <c r="G435" t="s">
        <v>88</v>
      </c>
      <c r="H435" t="s">
        <v>88</v>
      </c>
      <c r="I435">
        <v>10</v>
      </c>
    </row>
    <row r="436" spans="1:9" x14ac:dyDescent="0.45">
      <c r="A436" t="s">
        <v>1616</v>
      </c>
      <c r="B436" t="s">
        <v>163</v>
      </c>
      <c r="C436">
        <v>14</v>
      </c>
      <c r="D436" t="s">
        <v>85</v>
      </c>
      <c r="E436" t="s">
        <v>39</v>
      </c>
      <c r="F436" t="s">
        <v>2637</v>
      </c>
      <c r="G436" t="s">
        <v>88</v>
      </c>
      <c r="H436" t="s">
        <v>88</v>
      </c>
      <c r="I436">
        <v>9</v>
      </c>
    </row>
    <row r="437" spans="1:9" x14ac:dyDescent="0.45">
      <c r="A437" t="s">
        <v>1616</v>
      </c>
      <c r="B437" t="s">
        <v>166</v>
      </c>
      <c r="C437">
        <v>23</v>
      </c>
      <c r="D437" t="s">
        <v>33</v>
      </c>
      <c r="E437" t="s">
        <v>34</v>
      </c>
      <c r="F437" t="s">
        <v>2638</v>
      </c>
      <c r="G437" t="s">
        <v>88</v>
      </c>
      <c r="H437" t="s">
        <v>88</v>
      </c>
      <c r="I437">
        <v>10</v>
      </c>
    </row>
    <row r="438" spans="1:9" x14ac:dyDescent="0.45">
      <c r="A438" t="s">
        <v>1616</v>
      </c>
      <c r="B438" t="s">
        <v>169</v>
      </c>
      <c r="C438">
        <v>77</v>
      </c>
      <c r="D438" t="s">
        <v>986</v>
      </c>
      <c r="E438" t="s">
        <v>44</v>
      </c>
      <c r="F438" t="s">
        <v>2639</v>
      </c>
      <c r="G438" t="s">
        <v>88</v>
      </c>
      <c r="H438" t="s">
        <v>88</v>
      </c>
      <c r="I438">
        <v>10</v>
      </c>
    </row>
    <row r="439" spans="1:9" x14ac:dyDescent="0.45">
      <c r="A439" t="s">
        <v>1616</v>
      </c>
      <c r="B439" t="s">
        <v>172</v>
      </c>
      <c r="C439">
        <v>18</v>
      </c>
      <c r="D439" t="s">
        <v>38</v>
      </c>
      <c r="E439" t="s">
        <v>39</v>
      </c>
      <c r="F439" t="s">
        <v>2640</v>
      </c>
      <c r="G439" t="s">
        <v>88</v>
      </c>
      <c r="H439" t="s">
        <v>88</v>
      </c>
      <c r="I439">
        <v>3</v>
      </c>
    </row>
    <row r="440" spans="1:9" x14ac:dyDescent="0.45">
      <c r="A440" t="s">
        <v>1653</v>
      </c>
      <c r="B440" t="s">
        <v>12</v>
      </c>
      <c r="C440">
        <v>1</v>
      </c>
      <c r="D440" t="s">
        <v>19</v>
      </c>
      <c r="E440" t="s">
        <v>20</v>
      </c>
      <c r="F440" t="s">
        <v>2641</v>
      </c>
      <c r="G440" t="s">
        <v>2642</v>
      </c>
      <c r="H440" t="s">
        <v>2643</v>
      </c>
      <c r="I440">
        <v>22</v>
      </c>
    </row>
    <row r="441" spans="1:9" x14ac:dyDescent="0.45">
      <c r="A441" t="s">
        <v>1653</v>
      </c>
      <c r="B441" t="s">
        <v>18</v>
      </c>
      <c r="C441">
        <v>63</v>
      </c>
      <c r="D441" t="s">
        <v>24</v>
      </c>
      <c r="E441" t="s">
        <v>25</v>
      </c>
      <c r="F441" t="s">
        <v>2644</v>
      </c>
      <c r="G441" t="s">
        <v>2645</v>
      </c>
      <c r="H441" t="s">
        <v>2646</v>
      </c>
      <c r="I441">
        <v>28</v>
      </c>
    </row>
    <row r="442" spans="1:9" x14ac:dyDescent="0.45">
      <c r="A442" t="s">
        <v>1653</v>
      </c>
      <c r="B442" t="s">
        <v>23</v>
      </c>
      <c r="C442">
        <v>4</v>
      </c>
      <c r="D442" t="s">
        <v>13</v>
      </c>
      <c r="E442" t="s">
        <v>14</v>
      </c>
      <c r="F442" t="s">
        <v>2647</v>
      </c>
      <c r="G442" t="s">
        <v>2648</v>
      </c>
      <c r="H442" t="s">
        <v>2649</v>
      </c>
      <c r="I442">
        <v>22</v>
      </c>
    </row>
    <row r="443" spans="1:9" x14ac:dyDescent="0.45">
      <c r="A443" t="s">
        <v>1653</v>
      </c>
      <c r="B443" t="s">
        <v>28</v>
      </c>
      <c r="C443">
        <v>81</v>
      </c>
      <c r="D443" t="s">
        <v>53</v>
      </c>
      <c r="E443" t="s">
        <v>14</v>
      </c>
      <c r="F443" t="s">
        <v>2650</v>
      </c>
      <c r="G443" t="s">
        <v>2651</v>
      </c>
      <c r="H443" t="s">
        <v>2652</v>
      </c>
      <c r="I443">
        <v>22</v>
      </c>
    </row>
    <row r="444" spans="1:9" x14ac:dyDescent="0.45">
      <c r="A444" t="s">
        <v>1653</v>
      </c>
      <c r="B444" t="s">
        <v>32</v>
      </c>
      <c r="C444">
        <v>16</v>
      </c>
      <c r="D444" t="s">
        <v>48</v>
      </c>
      <c r="E444" t="s">
        <v>49</v>
      </c>
      <c r="F444" t="s">
        <v>2653</v>
      </c>
      <c r="G444" t="s">
        <v>2654</v>
      </c>
      <c r="H444" t="s">
        <v>2655</v>
      </c>
      <c r="I444">
        <v>26</v>
      </c>
    </row>
    <row r="445" spans="1:9" x14ac:dyDescent="0.45">
      <c r="A445" t="s">
        <v>1653</v>
      </c>
      <c r="B445" t="s">
        <v>37</v>
      </c>
      <c r="C445">
        <v>44</v>
      </c>
      <c r="D445" t="s">
        <v>57</v>
      </c>
      <c r="E445" t="s">
        <v>25</v>
      </c>
      <c r="F445" t="s">
        <v>2656</v>
      </c>
      <c r="G445" t="s">
        <v>2657</v>
      </c>
      <c r="H445" t="s">
        <v>2658</v>
      </c>
      <c r="I445">
        <v>27</v>
      </c>
    </row>
    <row r="446" spans="1:9" x14ac:dyDescent="0.45">
      <c r="A446" t="s">
        <v>1653</v>
      </c>
      <c r="B446" t="s">
        <v>42</v>
      </c>
      <c r="C446">
        <v>55</v>
      </c>
      <c r="D446" t="s">
        <v>87</v>
      </c>
      <c r="E446" t="s">
        <v>49</v>
      </c>
      <c r="F446" t="s">
        <v>2659</v>
      </c>
      <c r="G446" t="s">
        <v>2660</v>
      </c>
      <c r="H446" t="s">
        <v>2661</v>
      </c>
      <c r="I446">
        <v>26</v>
      </c>
    </row>
    <row r="447" spans="1:9" x14ac:dyDescent="0.45">
      <c r="A447" t="s">
        <v>1653</v>
      </c>
      <c r="B447" t="s">
        <v>47</v>
      </c>
      <c r="C447">
        <v>14</v>
      </c>
      <c r="D447" t="s">
        <v>85</v>
      </c>
      <c r="E447" t="s">
        <v>39</v>
      </c>
      <c r="F447" t="s">
        <v>2662</v>
      </c>
      <c r="G447" t="s">
        <v>2663</v>
      </c>
      <c r="H447" t="s">
        <v>2664</v>
      </c>
      <c r="I447">
        <v>19</v>
      </c>
    </row>
    <row r="448" spans="1:9" x14ac:dyDescent="0.45">
      <c r="A448" t="s">
        <v>1653</v>
      </c>
      <c r="B448" t="s">
        <v>52</v>
      </c>
      <c r="C448">
        <v>11</v>
      </c>
      <c r="D448" t="s">
        <v>955</v>
      </c>
      <c r="E448" t="s">
        <v>20</v>
      </c>
      <c r="F448" t="s">
        <v>2665</v>
      </c>
      <c r="G448" t="s">
        <v>2666</v>
      </c>
      <c r="H448" t="s">
        <v>2666</v>
      </c>
      <c r="I448">
        <v>22</v>
      </c>
    </row>
    <row r="449" spans="1:9" x14ac:dyDescent="0.45">
      <c r="A449" t="s">
        <v>1653</v>
      </c>
      <c r="B449" t="s">
        <v>56</v>
      </c>
      <c r="C449">
        <v>20</v>
      </c>
      <c r="D449" t="s">
        <v>976</v>
      </c>
      <c r="E449" t="s">
        <v>72</v>
      </c>
      <c r="F449" t="s">
        <v>2667</v>
      </c>
      <c r="G449" t="s">
        <v>2668</v>
      </c>
      <c r="H449" t="s">
        <v>2669</v>
      </c>
      <c r="I449">
        <v>26</v>
      </c>
    </row>
    <row r="450" spans="1:9" x14ac:dyDescent="0.45">
      <c r="A450" t="s">
        <v>1653</v>
      </c>
      <c r="B450" t="s">
        <v>60</v>
      </c>
      <c r="C450">
        <v>10</v>
      </c>
      <c r="D450" t="s">
        <v>61</v>
      </c>
      <c r="E450" t="s">
        <v>62</v>
      </c>
      <c r="F450" t="s">
        <v>2670</v>
      </c>
      <c r="G450" t="s">
        <v>2671</v>
      </c>
      <c r="H450" t="s">
        <v>88</v>
      </c>
      <c r="I450">
        <v>18</v>
      </c>
    </row>
    <row r="451" spans="1:9" x14ac:dyDescent="0.45">
      <c r="A451" t="s">
        <v>1653</v>
      </c>
      <c r="B451" t="s">
        <v>65</v>
      </c>
      <c r="C451">
        <v>24</v>
      </c>
      <c r="D451" t="s">
        <v>974</v>
      </c>
      <c r="E451" t="s">
        <v>44</v>
      </c>
      <c r="F451" t="s">
        <v>2672</v>
      </c>
      <c r="G451" t="s">
        <v>2673</v>
      </c>
      <c r="H451" t="s">
        <v>88</v>
      </c>
      <c r="I451">
        <v>19</v>
      </c>
    </row>
    <row r="452" spans="1:9" x14ac:dyDescent="0.45">
      <c r="A452" t="s">
        <v>1653</v>
      </c>
      <c r="B452" t="s">
        <v>70</v>
      </c>
      <c r="C452">
        <v>77</v>
      </c>
      <c r="D452" t="s">
        <v>986</v>
      </c>
      <c r="E452" t="s">
        <v>44</v>
      </c>
      <c r="F452" t="s">
        <v>2674</v>
      </c>
      <c r="G452" t="s">
        <v>2675</v>
      </c>
      <c r="H452" t="s">
        <v>88</v>
      </c>
      <c r="I452">
        <v>19</v>
      </c>
    </row>
    <row r="453" spans="1:9" x14ac:dyDescent="0.45">
      <c r="A453" t="s">
        <v>1653</v>
      </c>
      <c r="B453" t="s">
        <v>75</v>
      </c>
      <c r="C453">
        <v>22</v>
      </c>
      <c r="D453" t="s">
        <v>66</v>
      </c>
      <c r="E453" t="s">
        <v>979</v>
      </c>
      <c r="F453" t="s">
        <v>2676</v>
      </c>
      <c r="G453" t="s">
        <v>1587</v>
      </c>
      <c r="H453" t="s">
        <v>88</v>
      </c>
      <c r="I453">
        <v>16</v>
      </c>
    </row>
    <row r="454" spans="1:9" x14ac:dyDescent="0.45">
      <c r="A454" t="s">
        <v>1653</v>
      </c>
      <c r="B454" t="s">
        <v>120</v>
      </c>
      <c r="C454">
        <v>18</v>
      </c>
      <c r="D454" t="s">
        <v>38</v>
      </c>
      <c r="E454" t="s">
        <v>39</v>
      </c>
      <c r="F454" t="s">
        <v>2677</v>
      </c>
      <c r="G454" t="s">
        <v>2678</v>
      </c>
      <c r="H454" t="s">
        <v>88</v>
      </c>
      <c r="I454">
        <v>14</v>
      </c>
    </row>
    <row r="455" spans="1:9" x14ac:dyDescent="0.45">
      <c r="A455" t="s">
        <v>1653</v>
      </c>
      <c r="B455" t="s">
        <v>122</v>
      </c>
      <c r="C455">
        <v>23</v>
      </c>
      <c r="D455" t="s">
        <v>33</v>
      </c>
      <c r="E455" t="s">
        <v>34</v>
      </c>
      <c r="F455" t="s">
        <v>2679</v>
      </c>
      <c r="G455" t="s">
        <v>88</v>
      </c>
      <c r="H455" t="s">
        <v>88</v>
      </c>
      <c r="I455">
        <v>9</v>
      </c>
    </row>
    <row r="456" spans="1:9" x14ac:dyDescent="0.45">
      <c r="A456" t="s">
        <v>1653</v>
      </c>
      <c r="B456" t="s">
        <v>163</v>
      </c>
      <c r="C456">
        <v>30</v>
      </c>
      <c r="D456" t="s">
        <v>80</v>
      </c>
      <c r="E456" t="s">
        <v>979</v>
      </c>
      <c r="F456" t="s">
        <v>2680</v>
      </c>
      <c r="G456" t="s">
        <v>88</v>
      </c>
      <c r="H456" t="s">
        <v>88</v>
      </c>
      <c r="I456">
        <v>10</v>
      </c>
    </row>
    <row r="457" spans="1:9" x14ac:dyDescent="0.45">
      <c r="A457" t="s">
        <v>1653</v>
      </c>
      <c r="B457" t="s">
        <v>166</v>
      </c>
      <c r="C457">
        <v>27</v>
      </c>
      <c r="D457" t="s">
        <v>43</v>
      </c>
      <c r="E457" t="s">
        <v>72</v>
      </c>
      <c r="F457" t="s">
        <v>2681</v>
      </c>
      <c r="G457" t="s">
        <v>88</v>
      </c>
      <c r="H457" t="s">
        <v>88</v>
      </c>
      <c r="I457">
        <v>10</v>
      </c>
    </row>
    <row r="458" spans="1:9" x14ac:dyDescent="0.45">
      <c r="A458" t="s">
        <v>1653</v>
      </c>
      <c r="B458" t="s">
        <v>169</v>
      </c>
      <c r="C458">
        <v>43</v>
      </c>
      <c r="D458" t="s">
        <v>308</v>
      </c>
      <c r="E458" t="s">
        <v>34</v>
      </c>
      <c r="F458" t="s">
        <v>2682</v>
      </c>
      <c r="G458" t="s">
        <v>88</v>
      </c>
      <c r="H458" t="s">
        <v>88</v>
      </c>
      <c r="I458">
        <v>9</v>
      </c>
    </row>
    <row r="459" spans="1:9" x14ac:dyDescent="0.45">
      <c r="A459" t="s">
        <v>1653</v>
      </c>
      <c r="B459" t="s">
        <v>172</v>
      </c>
      <c r="C459">
        <v>31</v>
      </c>
      <c r="D459" t="s">
        <v>71</v>
      </c>
      <c r="E459" t="s">
        <v>62</v>
      </c>
      <c r="F459" t="s">
        <v>2683</v>
      </c>
      <c r="G459" t="s">
        <v>88</v>
      </c>
      <c r="H459" t="s">
        <v>88</v>
      </c>
      <c r="I459">
        <v>10</v>
      </c>
    </row>
    <row r="460" spans="1:9" x14ac:dyDescent="0.45">
      <c r="A460" t="s">
        <v>1685</v>
      </c>
      <c r="B460" t="s">
        <v>12</v>
      </c>
      <c r="C460">
        <v>4</v>
      </c>
      <c r="D460" t="s">
        <v>13</v>
      </c>
      <c r="E460" t="s">
        <v>14</v>
      </c>
      <c r="F460" t="s">
        <v>2684</v>
      </c>
      <c r="G460" t="s">
        <v>2685</v>
      </c>
      <c r="H460" t="s">
        <v>2686</v>
      </c>
      <c r="I460">
        <v>16</v>
      </c>
    </row>
    <row r="461" spans="1:9" x14ac:dyDescent="0.45">
      <c r="A461" t="s">
        <v>1685</v>
      </c>
      <c r="B461" t="s">
        <v>18</v>
      </c>
      <c r="C461">
        <v>81</v>
      </c>
      <c r="D461" t="s">
        <v>53</v>
      </c>
      <c r="E461" t="s">
        <v>14</v>
      </c>
      <c r="F461" t="s">
        <v>2687</v>
      </c>
      <c r="G461" t="s">
        <v>2688</v>
      </c>
      <c r="H461" t="s">
        <v>2689</v>
      </c>
      <c r="I461">
        <v>16</v>
      </c>
    </row>
    <row r="462" spans="1:9" x14ac:dyDescent="0.45">
      <c r="A462" t="s">
        <v>1685</v>
      </c>
      <c r="B462" t="s">
        <v>23</v>
      </c>
      <c r="C462">
        <v>55</v>
      </c>
      <c r="D462" t="s">
        <v>87</v>
      </c>
      <c r="E462" t="s">
        <v>49</v>
      </c>
      <c r="F462" t="s">
        <v>1362</v>
      </c>
      <c r="G462" t="s">
        <v>2690</v>
      </c>
      <c r="H462" t="s">
        <v>2691</v>
      </c>
      <c r="I462">
        <v>16</v>
      </c>
    </row>
    <row r="463" spans="1:9" x14ac:dyDescent="0.45">
      <c r="A463" t="s">
        <v>1685</v>
      </c>
      <c r="B463" t="s">
        <v>28</v>
      </c>
      <c r="C463">
        <v>27</v>
      </c>
      <c r="D463" t="s">
        <v>43</v>
      </c>
      <c r="E463" t="s">
        <v>72</v>
      </c>
      <c r="F463" t="s">
        <v>2692</v>
      </c>
      <c r="G463" t="s">
        <v>2693</v>
      </c>
      <c r="H463" t="s">
        <v>2694</v>
      </c>
      <c r="I463">
        <v>17</v>
      </c>
    </row>
    <row r="464" spans="1:9" x14ac:dyDescent="0.45">
      <c r="A464" t="s">
        <v>1685</v>
      </c>
      <c r="B464" t="s">
        <v>32</v>
      </c>
      <c r="C464">
        <v>1</v>
      </c>
      <c r="D464" t="s">
        <v>19</v>
      </c>
      <c r="E464" t="s">
        <v>20</v>
      </c>
      <c r="F464" t="s">
        <v>2695</v>
      </c>
      <c r="G464" t="s">
        <v>2696</v>
      </c>
      <c r="H464" t="s">
        <v>2697</v>
      </c>
      <c r="I464">
        <v>15</v>
      </c>
    </row>
    <row r="465" spans="1:9" x14ac:dyDescent="0.45">
      <c r="A465" t="s">
        <v>1685</v>
      </c>
      <c r="B465" t="s">
        <v>37</v>
      </c>
      <c r="C465">
        <v>10</v>
      </c>
      <c r="D465" t="s">
        <v>61</v>
      </c>
      <c r="E465" t="s">
        <v>62</v>
      </c>
      <c r="F465" t="s">
        <v>2698</v>
      </c>
      <c r="G465" t="s">
        <v>2699</v>
      </c>
      <c r="H465" t="s">
        <v>2700</v>
      </c>
      <c r="I465">
        <v>18</v>
      </c>
    </row>
    <row r="466" spans="1:9" x14ac:dyDescent="0.45">
      <c r="A466" t="s">
        <v>1685</v>
      </c>
      <c r="B466" t="s">
        <v>42</v>
      </c>
      <c r="C466">
        <v>63</v>
      </c>
      <c r="D466" t="s">
        <v>24</v>
      </c>
      <c r="E466" t="s">
        <v>25</v>
      </c>
      <c r="F466" t="s">
        <v>2701</v>
      </c>
      <c r="G466" t="s">
        <v>2702</v>
      </c>
      <c r="H466" t="s">
        <v>2703</v>
      </c>
      <c r="I466">
        <v>19</v>
      </c>
    </row>
    <row r="467" spans="1:9" x14ac:dyDescent="0.45">
      <c r="A467" t="s">
        <v>1685</v>
      </c>
      <c r="B467" t="s">
        <v>47</v>
      </c>
      <c r="C467">
        <v>14</v>
      </c>
      <c r="D467" t="s">
        <v>85</v>
      </c>
      <c r="E467" t="s">
        <v>39</v>
      </c>
      <c r="F467" t="s">
        <v>2704</v>
      </c>
      <c r="G467" t="s">
        <v>2705</v>
      </c>
      <c r="H467" t="s">
        <v>2706</v>
      </c>
      <c r="I467">
        <v>19</v>
      </c>
    </row>
    <row r="468" spans="1:9" x14ac:dyDescent="0.45">
      <c r="A468" t="s">
        <v>1685</v>
      </c>
      <c r="B468" t="s">
        <v>52</v>
      </c>
      <c r="C468">
        <v>77</v>
      </c>
      <c r="D468" t="s">
        <v>986</v>
      </c>
      <c r="E468" t="s">
        <v>44</v>
      </c>
      <c r="F468" t="s">
        <v>2707</v>
      </c>
      <c r="G468" t="s">
        <v>2708</v>
      </c>
      <c r="H468" t="s">
        <v>2709</v>
      </c>
      <c r="I468">
        <v>15</v>
      </c>
    </row>
    <row r="469" spans="1:9" x14ac:dyDescent="0.45">
      <c r="A469" t="s">
        <v>1685</v>
      </c>
      <c r="B469" t="s">
        <v>56</v>
      </c>
      <c r="C469">
        <v>11</v>
      </c>
      <c r="D469" t="s">
        <v>955</v>
      </c>
      <c r="E469" t="s">
        <v>20</v>
      </c>
      <c r="F469" t="s">
        <v>2710</v>
      </c>
      <c r="G469" t="s">
        <v>2711</v>
      </c>
      <c r="H469" t="s">
        <v>2712</v>
      </c>
      <c r="I469">
        <v>18</v>
      </c>
    </row>
    <row r="470" spans="1:9" x14ac:dyDescent="0.45">
      <c r="A470" t="s">
        <v>1685</v>
      </c>
      <c r="B470" t="s">
        <v>60</v>
      </c>
      <c r="C470">
        <v>22</v>
      </c>
      <c r="D470" t="s">
        <v>66</v>
      </c>
      <c r="E470" t="s">
        <v>979</v>
      </c>
      <c r="F470" t="s">
        <v>2713</v>
      </c>
      <c r="G470" t="s">
        <v>2714</v>
      </c>
      <c r="H470" t="s">
        <v>88</v>
      </c>
      <c r="I470">
        <v>12</v>
      </c>
    </row>
    <row r="471" spans="1:9" x14ac:dyDescent="0.45">
      <c r="A471" t="s">
        <v>1685</v>
      </c>
      <c r="B471" t="s">
        <v>65</v>
      </c>
      <c r="C471">
        <v>30</v>
      </c>
      <c r="D471" t="s">
        <v>80</v>
      </c>
      <c r="E471" t="s">
        <v>979</v>
      </c>
      <c r="F471" t="s">
        <v>2715</v>
      </c>
      <c r="G471" t="s">
        <v>2716</v>
      </c>
      <c r="H471" t="s">
        <v>88</v>
      </c>
      <c r="I471">
        <v>12</v>
      </c>
    </row>
    <row r="472" spans="1:9" x14ac:dyDescent="0.45">
      <c r="A472" t="s">
        <v>1685</v>
      </c>
      <c r="B472" t="s">
        <v>70</v>
      </c>
      <c r="C472">
        <v>18</v>
      </c>
      <c r="D472" t="s">
        <v>38</v>
      </c>
      <c r="E472" t="s">
        <v>39</v>
      </c>
      <c r="F472" t="s">
        <v>2717</v>
      </c>
      <c r="G472" t="s">
        <v>2718</v>
      </c>
      <c r="H472" t="s">
        <v>88</v>
      </c>
      <c r="I472">
        <v>14</v>
      </c>
    </row>
    <row r="473" spans="1:9" x14ac:dyDescent="0.45">
      <c r="A473" t="s">
        <v>1685</v>
      </c>
      <c r="B473" t="s">
        <v>75</v>
      </c>
      <c r="C473">
        <v>16</v>
      </c>
      <c r="D473" t="s">
        <v>48</v>
      </c>
      <c r="E473" t="s">
        <v>49</v>
      </c>
      <c r="F473" t="s">
        <v>2719</v>
      </c>
      <c r="G473" t="s">
        <v>2720</v>
      </c>
      <c r="H473" t="s">
        <v>88</v>
      </c>
      <c r="I473">
        <v>12</v>
      </c>
    </row>
    <row r="474" spans="1:9" x14ac:dyDescent="0.45">
      <c r="A474" t="s">
        <v>1685</v>
      </c>
      <c r="B474" t="s">
        <v>120</v>
      </c>
      <c r="C474">
        <v>20</v>
      </c>
      <c r="D474" t="s">
        <v>976</v>
      </c>
      <c r="E474" t="s">
        <v>72</v>
      </c>
      <c r="F474" t="s">
        <v>2721</v>
      </c>
      <c r="G474" t="s">
        <v>2722</v>
      </c>
      <c r="H474" t="s">
        <v>88</v>
      </c>
      <c r="I474">
        <v>11</v>
      </c>
    </row>
    <row r="475" spans="1:9" x14ac:dyDescent="0.45">
      <c r="A475" t="s">
        <v>1685</v>
      </c>
      <c r="B475" t="s">
        <v>122</v>
      </c>
      <c r="C475">
        <v>23</v>
      </c>
      <c r="D475" t="s">
        <v>33</v>
      </c>
      <c r="E475" t="s">
        <v>34</v>
      </c>
      <c r="F475" t="s">
        <v>2723</v>
      </c>
      <c r="G475" t="s">
        <v>88</v>
      </c>
      <c r="H475" t="s">
        <v>88</v>
      </c>
      <c r="I475">
        <v>6</v>
      </c>
    </row>
    <row r="476" spans="1:9" x14ac:dyDescent="0.45">
      <c r="A476" t="s">
        <v>1685</v>
      </c>
      <c r="B476" t="s">
        <v>163</v>
      </c>
      <c r="C476">
        <v>24</v>
      </c>
      <c r="D476" t="s">
        <v>974</v>
      </c>
      <c r="E476" t="s">
        <v>44</v>
      </c>
      <c r="F476" t="s">
        <v>2724</v>
      </c>
      <c r="G476" t="s">
        <v>88</v>
      </c>
      <c r="H476" t="s">
        <v>88</v>
      </c>
      <c r="I476">
        <v>6</v>
      </c>
    </row>
    <row r="477" spans="1:9" x14ac:dyDescent="0.45">
      <c r="A477" t="s">
        <v>1685</v>
      </c>
      <c r="B477" t="s">
        <v>166</v>
      </c>
      <c r="C477">
        <v>44</v>
      </c>
      <c r="D477" t="s">
        <v>57</v>
      </c>
      <c r="E477" t="s">
        <v>25</v>
      </c>
      <c r="F477" t="s">
        <v>2725</v>
      </c>
      <c r="G477" t="s">
        <v>88</v>
      </c>
      <c r="H477" t="s">
        <v>88</v>
      </c>
      <c r="I477">
        <v>7</v>
      </c>
    </row>
    <row r="478" spans="1:9" x14ac:dyDescent="0.45">
      <c r="A478" t="s">
        <v>1685</v>
      </c>
      <c r="B478" t="s">
        <v>169</v>
      </c>
      <c r="C478">
        <v>43</v>
      </c>
      <c r="D478" t="s">
        <v>308</v>
      </c>
      <c r="E478" t="s">
        <v>34</v>
      </c>
      <c r="F478" t="s">
        <v>2726</v>
      </c>
      <c r="G478" t="s">
        <v>88</v>
      </c>
      <c r="H478" t="s">
        <v>88</v>
      </c>
      <c r="I478">
        <v>6</v>
      </c>
    </row>
    <row r="479" spans="1:9" x14ac:dyDescent="0.45">
      <c r="A479" t="s">
        <v>1685</v>
      </c>
      <c r="B479" t="s">
        <v>172</v>
      </c>
      <c r="C479">
        <v>61</v>
      </c>
      <c r="D479" t="s">
        <v>89</v>
      </c>
      <c r="E479" t="s">
        <v>62</v>
      </c>
      <c r="F479" t="s">
        <v>2727</v>
      </c>
      <c r="G479" t="s">
        <v>88</v>
      </c>
      <c r="H479" t="s">
        <v>88</v>
      </c>
      <c r="I479">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FD3D31-5271-4AF8-BA7B-F0184CC43B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Pivot Tables</vt:lpstr>
      <vt:lpstr>2025 vs 2024</vt:lpstr>
      <vt:lpstr>Race Results 2025</vt:lpstr>
      <vt:lpstr>Qualifying 2025</vt:lpstr>
      <vt:lpstr>Drivers</vt:lpstr>
      <vt:lpstr>Teams</vt:lpstr>
      <vt:lpstr>Race Results 2024</vt:lpstr>
      <vt:lpstr>Qualifying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 Padwal</dc:creator>
  <cp:lastModifiedBy>Tanish Padwal</cp:lastModifiedBy>
  <dcterms:created xsi:type="dcterms:W3CDTF">2026-07-21T15:18:33Z</dcterms:created>
  <dcterms:modified xsi:type="dcterms:W3CDTF">2026-07-24T15:36:55Z</dcterms:modified>
</cp:coreProperties>
</file>